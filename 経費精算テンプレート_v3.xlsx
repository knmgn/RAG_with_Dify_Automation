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経費精算書" sheetId="1" state="visible" r:id="rId1"/>
    <sheet name="タクシー利用明細" sheetId="2" state="visible" r:id="rId2"/>
    <sheet name="仮払い精算" sheetId="3" state="visible" r:id="rId3"/>
    <sheet name="区分マスタ" sheetId="4" state="visible" r:id="rId4"/>
    <sheet name="記入要領" sheetId="5" state="visible" r:id="rId5"/>
  </sheets>
  <definedNames>
    <definedName name="_xlnm.Print_Titles" localSheetId="0">'経費精算書'!$1:$9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11">
    <font>
      <name val="Calibri"/>
      <family val="2"/>
      <color theme="1"/>
      <sz val="11"/>
      <scheme val="minor"/>
    </font>
    <font>
      <name val="Yu Gothic"/>
      <b val="1"/>
      <color rgb="00FFFFFF"/>
      <sz val="16"/>
    </font>
    <font>
      <name val="Yu Gothic"/>
      <color rgb="00595959"/>
      <sz val="9"/>
    </font>
    <font>
      <name val="Yu Gothic"/>
      <b val="1"/>
      <color rgb="00000000"/>
      <sz val="10"/>
    </font>
    <font>
      <name val="Yu Gothic"/>
      <b val="1"/>
      <color rgb="00FFFFFF"/>
      <sz val="10"/>
    </font>
    <font>
      <name val="Yu Gothic"/>
      <color rgb="00000000"/>
      <sz val="10"/>
    </font>
    <font>
      <name val="Yu Gothic"/>
      <b val="1"/>
      <color rgb="00000000"/>
      <sz val="11"/>
    </font>
    <font>
      <name val="Yu Gothic"/>
      <b val="1"/>
      <color rgb="00C00000"/>
      <sz val="12"/>
    </font>
    <font>
      <name val="Yu Gothic"/>
      <color rgb="00808080"/>
      <sz val="8"/>
    </font>
    <font>
      <name val="Yu Gothic"/>
      <b val="1"/>
      <color rgb="00FFFFFF"/>
      <sz val="14"/>
    </font>
    <font>
      <name val="Yu Gothic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A9E"/>
      </patternFill>
    </fill>
    <fill>
      <patternFill patternType="solid">
        <fgColor rgb="00FAFA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 indent="1"/>
    </xf>
    <xf numFmtId="3" fontId="5" fillId="0" borderId="1" applyAlignment="1" pivotButton="0" quotePrefix="0" xfId="0">
      <alignment horizontal="right" vertical="center" inden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 indent="1"/>
    </xf>
    <xf numFmtId="3" fontId="5" fillId="5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right" vertical="center" indent="1"/>
    </xf>
    <xf numFmtId="164" fontId="7" fillId="3" borderId="1" applyAlignment="1" pivotButton="0" quotePrefix="0" xfId="0">
      <alignment horizontal="right" vertical="center" indent="1"/>
    </xf>
    <xf numFmtId="0" fontId="0" fillId="3" borderId="1" pivotButton="0" quotePrefix="0" xfId="0"/>
    <xf numFmtId="0" fontId="5" fillId="0" borderId="1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6" fillId="6" borderId="1" applyAlignment="1" pivotButton="0" quotePrefix="0" xfId="0">
      <alignment horizontal="right" vertical="center" indent="1"/>
    </xf>
    <xf numFmtId="164" fontId="7" fillId="6" borderId="1" applyAlignment="1" pivotButton="0" quotePrefix="0" xfId="0">
      <alignment horizontal="right" vertical="center" inden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 indent="1"/>
    </xf>
    <xf numFmtId="0" fontId="9" fillId="2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 wrapText="1" indent="1"/>
    </xf>
    <xf numFmtId="164" fontId="5" fillId="0" borderId="1" applyAlignment="1" pivotButton="0" quotePrefix="0" xfId="0">
      <alignment horizontal="right" vertical="center" indent="1"/>
    </xf>
    <xf numFmtId="164" fontId="5" fillId="5" borderId="1" applyAlignment="1" pivotButton="0" quotePrefix="0" xfId="0">
      <alignment horizontal="right" vertical="center" indent="1"/>
    </xf>
    <xf numFmtId="0" fontId="2" fillId="0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28" customWidth="1" min="4" max="4"/>
    <col width="26" customWidth="1" min="5" max="5"/>
    <col width="18" customWidth="1" min="6" max="6"/>
    <col width="14" customWidth="1" min="7" max="7"/>
    <col width="10" customWidth="1" min="8" max="8"/>
    <col width="24" customWidth="1" min="9" max="9"/>
  </cols>
  <sheetData>
    <row r="1" ht="32" customHeight="1">
      <c r="A1" s="1" t="inlineStr">
        <is>
          <t>経費精算書（Expense Reimbursement Form）</t>
        </is>
      </c>
    </row>
    <row r="2" ht="18" customHeight="1">
      <c r="A2" s="2" t="inlineStr">
        <is>
          <t>様式番号: F-001-v3 ／ 準拠規程: DL-HR-RG-2024-007（第3版・2024年10月1日改訂）</t>
        </is>
      </c>
    </row>
    <row r="4">
      <c r="A4" s="3" t="inlineStr">
        <is>
          <t>申請日</t>
        </is>
      </c>
      <c r="B4" s="4" t="inlineStr">
        <is>
          <t>2026/05/26</t>
        </is>
      </c>
      <c r="D4" s="3" t="inlineStr">
        <is>
          <t>精算番号</t>
        </is>
      </c>
      <c r="E4" s="4" t="inlineStr">
        <is>
          <t>EX-2026-05-0123</t>
        </is>
      </c>
    </row>
    <row r="5">
      <c r="A5" s="3" t="inlineStr">
        <is>
          <t>氏名</t>
        </is>
      </c>
      <c r="B5" s="4" t="inlineStr">
        <is>
          <t>山田 太郎</t>
        </is>
      </c>
      <c r="D5" s="3" t="inlineStr">
        <is>
          <t>社員番号</t>
        </is>
      </c>
      <c r="E5" s="4" t="inlineStr">
        <is>
          <t>DL-04321</t>
        </is>
      </c>
    </row>
    <row r="6">
      <c r="A6" s="3" t="inlineStr">
        <is>
          <t>所属部門</t>
        </is>
      </c>
      <c r="B6" s="4" t="inlineStr">
        <is>
          <t>営業本部 第一営業部</t>
        </is>
      </c>
      <c r="D6" s="3" t="inlineStr">
        <is>
          <t>役職</t>
        </is>
      </c>
      <c r="E6" s="4" t="inlineStr">
        <is>
          <t>主任</t>
        </is>
      </c>
    </row>
    <row r="7">
      <c r="A7" s="3" t="inlineStr">
        <is>
          <t>対象期間</t>
        </is>
      </c>
      <c r="B7" s="4" t="inlineStr">
        <is>
          <t>2026/05/01 ～ 2026/05/25</t>
        </is>
      </c>
      <c r="D7" s="3" t="inlineStr">
        <is>
          <t>支払希望日</t>
        </is>
      </c>
      <c r="E7" s="4" t="inlineStr">
        <is>
          <t>2026/06/25（給与振込日）</t>
        </is>
      </c>
    </row>
    <row r="9" ht="28" customHeight="1">
      <c r="A9" s="5" t="inlineStr">
        <is>
          <t>No.</t>
        </is>
      </c>
      <c r="B9" s="5" t="inlineStr">
        <is>
          <t>利用日</t>
        </is>
      </c>
      <c r="C9" s="5" t="inlineStr">
        <is>
          <t>区分</t>
        </is>
      </c>
      <c r="D9" s="5" t="inlineStr">
        <is>
          <t>件名・目的</t>
        </is>
      </c>
      <c r="E9" s="5" t="inlineStr">
        <is>
          <t>利用区間／場所</t>
        </is>
      </c>
      <c r="F9" s="5" t="inlineStr">
        <is>
          <t>同行者・参加者</t>
        </is>
      </c>
      <c r="G9" s="5" t="inlineStr">
        <is>
          <t>金額（税込）</t>
        </is>
      </c>
      <c r="H9" s="5" t="inlineStr">
        <is>
          <t>領収書</t>
        </is>
      </c>
      <c r="I9" s="5" t="inlineStr">
        <is>
          <t>備考（F-021等）</t>
        </is>
      </c>
    </row>
    <row r="10" ht="22" customHeight="1">
      <c r="A10" s="6" t="n">
        <v>1</v>
      </c>
      <c r="B10" s="7" t="inlineStr">
        <is>
          <t>2026/05/08</t>
        </is>
      </c>
      <c r="C10" s="7" t="inlineStr">
        <is>
          <t>電車</t>
        </is>
      </c>
      <c r="D10" s="7" t="inlineStr">
        <is>
          <t>クライアントA社訪問</t>
        </is>
      </c>
      <c r="E10" s="7" t="inlineStr">
        <is>
          <t>東京 → 横浜（往復）</t>
        </is>
      </c>
      <c r="F10" s="7" t="inlineStr">
        <is>
          <t>—</t>
        </is>
      </c>
      <c r="G10" s="8" t="n">
        <v>1540</v>
      </c>
      <c r="H10" s="6" t="inlineStr">
        <is>
          <t>○</t>
        </is>
      </c>
      <c r="I10" s="7" t="inlineStr"/>
    </row>
    <row r="11" ht="22" customHeight="1">
      <c r="A11" s="9" t="n">
        <v>2</v>
      </c>
      <c r="B11" s="10" t="inlineStr">
        <is>
          <t>2026/05/10</t>
        </is>
      </c>
      <c r="C11" s="10" t="inlineStr">
        <is>
          <t>タクシー（夜間）</t>
        </is>
      </c>
      <c r="D11" s="10" t="inlineStr">
        <is>
          <t>終電後の業務終了に伴う帰宅</t>
        </is>
      </c>
      <c r="E11" s="10" t="inlineStr">
        <is>
          <t>渋谷オフィス → 自宅（世田谷区）</t>
        </is>
      </c>
      <c r="F11" s="10" t="inlineStr">
        <is>
          <t>—</t>
        </is>
      </c>
      <c r="G11" s="11" t="n">
        <v>4820</v>
      </c>
      <c r="H11" s="9" t="inlineStr">
        <is>
          <t>○</t>
        </is>
      </c>
      <c r="I11" s="10" t="inlineStr">
        <is>
          <t>業務終了 23:45 / 終電後</t>
        </is>
      </c>
    </row>
    <row r="12" ht="22" customHeight="1">
      <c r="A12" s="6" t="n">
        <v>3</v>
      </c>
      <c r="B12" s="7" t="inlineStr">
        <is>
          <t>2026/05/14</t>
        </is>
      </c>
      <c r="C12" s="7" t="inlineStr">
        <is>
          <t>タクシー（昼間）</t>
        </is>
      </c>
      <c r="D12" s="7" t="inlineStr">
        <is>
          <t>クライアント同席の重要書類運搬</t>
        </is>
      </c>
      <c r="E12" s="7" t="inlineStr">
        <is>
          <t>本社 → 大手町（B社）</t>
        </is>
      </c>
      <c r="F12" s="7" t="inlineStr">
        <is>
          <t>B社 鈴木様 同乗</t>
        </is>
      </c>
      <c r="G12" s="8" t="n">
        <v>3180</v>
      </c>
      <c r="H12" s="6" t="inlineStr">
        <is>
          <t>○</t>
        </is>
      </c>
      <c r="I12" s="7" t="inlineStr">
        <is>
          <t>事前申請: 2026/05/12 承認済</t>
        </is>
      </c>
    </row>
    <row r="13" ht="22" customHeight="1">
      <c r="A13" s="9" t="n">
        <v>4</v>
      </c>
      <c r="B13" s="10" t="inlineStr">
        <is>
          <t>2026/05/16</t>
        </is>
      </c>
      <c r="C13" s="10" t="inlineStr">
        <is>
          <t>新幹線</t>
        </is>
      </c>
      <c r="D13" s="10" t="inlineStr">
        <is>
          <t>大阪支店との合同会議</t>
        </is>
      </c>
      <c r="E13" s="10" t="inlineStr">
        <is>
          <t>東京 → 新大阪（普通車指定席）</t>
        </is>
      </c>
      <c r="F13" s="10" t="inlineStr">
        <is>
          <t>—</t>
        </is>
      </c>
      <c r="G13" s="11" t="n">
        <v>14720</v>
      </c>
      <c r="H13" s="9" t="inlineStr">
        <is>
          <t>○</t>
        </is>
      </c>
      <c r="I13" s="10" t="inlineStr"/>
    </row>
    <row r="14" ht="22" customHeight="1">
      <c r="A14" s="6" t="n">
        <v>5</v>
      </c>
      <c r="B14" s="7" t="inlineStr">
        <is>
          <t>2026/05/16</t>
        </is>
      </c>
      <c r="C14" s="7" t="inlineStr">
        <is>
          <t>宿泊費</t>
        </is>
      </c>
      <c r="D14" s="7" t="inlineStr">
        <is>
          <t>出張に伴う宿泊（大阪市）</t>
        </is>
      </c>
      <c r="E14" s="7" t="inlineStr">
        <is>
          <t>大阪市内 ホテルABC</t>
        </is>
      </c>
      <c r="F14" s="7" t="inlineStr">
        <is>
          <t>—</t>
        </is>
      </c>
      <c r="G14" s="8" t="n">
        <v>11500</v>
      </c>
      <c r="H14" s="6" t="inlineStr">
        <is>
          <t>○</t>
        </is>
      </c>
      <c r="I14" s="7" t="inlineStr">
        <is>
          <t>上限13,000円以内</t>
        </is>
      </c>
    </row>
    <row r="15" ht="22" customHeight="1">
      <c r="A15" s="9" t="n">
        <v>6</v>
      </c>
      <c r="B15" s="10" t="inlineStr">
        <is>
          <t>2026/05/18</t>
        </is>
      </c>
      <c r="C15" s="10" t="inlineStr">
        <is>
          <t>タクシー（夜間）</t>
        </is>
      </c>
      <c r="D15" s="10" t="inlineStr">
        <is>
          <t>深夜帰宅（業務終了 24:30）</t>
        </is>
      </c>
      <c r="E15" s="10" t="inlineStr">
        <is>
          <t>本社 → 自宅（練馬区）</t>
        </is>
      </c>
      <c r="F15" s="10" t="inlineStr">
        <is>
          <t>—</t>
        </is>
      </c>
      <c r="G15" s="11" t="n">
        <v>16240</v>
      </c>
      <c r="H15" s="9" t="inlineStr">
        <is>
          <t>○</t>
        </is>
      </c>
      <c r="I15" s="10" t="inlineStr">
        <is>
          <t>上限超過: F-021提出済（部長・総務部長承認）</t>
        </is>
      </c>
    </row>
    <row r="16" ht="22" customHeight="1">
      <c r="A16" s="6" t="n">
        <v>7</v>
      </c>
      <c r="B16" s="7" t="inlineStr">
        <is>
          <t>2026/05/20</t>
        </is>
      </c>
      <c r="C16" s="7" t="inlineStr">
        <is>
          <t>接待交際費</t>
        </is>
      </c>
      <c r="D16" s="7" t="inlineStr">
        <is>
          <t>新規開拓 C社 役員との会食</t>
        </is>
      </c>
      <c r="E16" s="7" t="inlineStr">
        <is>
          <t>銀座 居酒屋XYZ</t>
        </is>
      </c>
      <c r="F16" s="7" t="inlineStr">
        <is>
          <t>C社 田中部長／C社 佐々木課長／当社 山田</t>
        </is>
      </c>
      <c r="G16" s="8" t="n">
        <v>28600</v>
      </c>
      <c r="H16" s="6" t="inlineStr">
        <is>
          <t>○</t>
        </is>
      </c>
      <c r="I16" s="7" t="inlineStr">
        <is>
          <t>F-009 事前申請済 / 1名@7,150円</t>
        </is>
      </c>
    </row>
    <row r="17" ht="22" customHeight="1">
      <c r="A17" s="9" t="n">
        <v>8</v>
      </c>
      <c r="B17" s="10" t="inlineStr">
        <is>
          <t>2026/05/22</t>
        </is>
      </c>
      <c r="C17" s="10" t="inlineStr">
        <is>
          <t>消耗品</t>
        </is>
      </c>
      <c r="D17" s="10" t="inlineStr">
        <is>
          <t>プリンタートナー購入</t>
        </is>
      </c>
      <c r="E17" s="10" t="inlineStr">
        <is>
          <t>Amazon</t>
        </is>
      </c>
      <c r="F17" s="10" t="inlineStr">
        <is>
          <t>—</t>
        </is>
      </c>
      <c r="G17" s="11" t="n">
        <v>4180</v>
      </c>
      <c r="H17" s="9" t="inlineStr">
        <is>
          <t>○</t>
        </is>
      </c>
      <c r="I17" s="10" t="inlineStr">
        <is>
          <t>Web明細スクショ添付</t>
        </is>
      </c>
    </row>
    <row r="18" ht="22" customHeight="1">
      <c r="A18" s="6" t="n">
        <v>9</v>
      </c>
      <c r="B18" s="7" t="inlineStr">
        <is>
          <t>2026/05/24</t>
        </is>
      </c>
      <c r="C18" s="7" t="inlineStr">
        <is>
          <t>電車</t>
        </is>
      </c>
      <c r="D18" s="7" t="inlineStr">
        <is>
          <t>総務会議出席</t>
        </is>
      </c>
      <c r="E18" s="7" t="inlineStr">
        <is>
          <t>東京 → 品川（往復）</t>
        </is>
      </c>
      <c r="F18" s="7" t="inlineStr">
        <is>
          <t>—</t>
        </is>
      </c>
      <c r="G18" s="8" t="n">
        <v>560</v>
      </c>
      <c r="H18" s="6" t="inlineStr">
        <is>
          <t>—</t>
        </is>
      </c>
      <c r="I18" s="7" t="inlineStr">
        <is>
          <t>3,000円未満のため明細スクショ</t>
        </is>
      </c>
    </row>
    <row r="19" ht="22" customHeight="1">
      <c r="A19" s="6" t="n">
        <v>10</v>
      </c>
      <c r="B19" s="7" t="n"/>
      <c r="C19" s="7" t="n"/>
      <c r="D19" s="7" t="n"/>
      <c r="E19" s="7" t="n"/>
      <c r="F19" s="7" t="n"/>
      <c r="G19" s="8" t="n"/>
      <c r="H19" s="6" t="n"/>
      <c r="I19" s="7" t="n"/>
    </row>
    <row r="20" ht="22" customHeight="1">
      <c r="A20" s="6" t="n">
        <v>11</v>
      </c>
      <c r="B20" s="7" t="n"/>
      <c r="C20" s="7" t="n"/>
      <c r="D20" s="7" t="n"/>
      <c r="E20" s="7" t="n"/>
      <c r="F20" s="7" t="n"/>
      <c r="G20" s="8" t="n"/>
      <c r="H20" s="6" t="n"/>
      <c r="I20" s="7" t="n"/>
    </row>
    <row r="21" ht="22" customHeight="1">
      <c r="A21" s="6" t="n">
        <v>12</v>
      </c>
      <c r="B21" s="7" t="n"/>
      <c r="C21" s="7" t="n"/>
      <c r="D21" s="7" t="n"/>
      <c r="E21" s="7" t="n"/>
      <c r="F21" s="7" t="n"/>
      <c r="G21" s="8" t="n"/>
      <c r="H21" s="6" t="n"/>
      <c r="I21" s="7" t="n"/>
    </row>
    <row r="22" ht="22" customHeight="1">
      <c r="A22" s="6" t="n">
        <v>13</v>
      </c>
      <c r="B22" s="7" t="n"/>
      <c r="C22" s="7" t="n"/>
      <c r="D22" s="7" t="n"/>
      <c r="E22" s="7" t="n"/>
      <c r="F22" s="7" t="n"/>
      <c r="G22" s="8" t="n"/>
      <c r="H22" s="6" t="n"/>
      <c r="I22" s="7" t="n"/>
    </row>
    <row r="23" ht="22" customHeight="1">
      <c r="A23" s="6" t="n">
        <v>14</v>
      </c>
      <c r="B23" s="7" t="n"/>
      <c r="C23" s="7" t="n"/>
      <c r="D23" s="7" t="n"/>
      <c r="E23" s="7" t="n"/>
      <c r="F23" s="7" t="n"/>
      <c r="G23" s="8" t="n"/>
      <c r="H23" s="6" t="n"/>
      <c r="I23" s="7" t="n"/>
    </row>
    <row r="24" ht="22" customHeight="1">
      <c r="A24" s="6" t="n">
        <v>15</v>
      </c>
      <c r="B24" s="7" t="n"/>
      <c r="C24" s="7" t="n"/>
      <c r="D24" s="7" t="n"/>
      <c r="E24" s="7" t="n"/>
      <c r="F24" s="7" t="n"/>
      <c r="G24" s="8" t="n"/>
      <c r="H24" s="6" t="n"/>
      <c r="I24" s="7" t="n"/>
    </row>
    <row r="25" ht="22" customHeight="1">
      <c r="A25" s="6" t="n">
        <v>16</v>
      </c>
      <c r="B25" s="7" t="n"/>
      <c r="C25" s="7" t="n"/>
      <c r="D25" s="7" t="n"/>
      <c r="E25" s="7" t="n"/>
      <c r="F25" s="7" t="n"/>
      <c r="G25" s="8" t="n"/>
      <c r="H25" s="6" t="n"/>
      <c r="I25" s="7" t="n"/>
    </row>
    <row r="26" ht="22" customHeight="1">
      <c r="A26" s="6" t="n">
        <v>17</v>
      </c>
      <c r="B26" s="7" t="n"/>
      <c r="C26" s="7" t="n"/>
      <c r="D26" s="7" t="n"/>
      <c r="E26" s="7" t="n"/>
      <c r="F26" s="7" t="n"/>
      <c r="G26" s="8" t="n"/>
      <c r="H26" s="6" t="n"/>
      <c r="I26" s="7" t="n"/>
    </row>
    <row r="27" ht="22" customHeight="1">
      <c r="A27" s="6" t="n">
        <v>18</v>
      </c>
      <c r="B27" s="7" t="n"/>
      <c r="C27" s="7" t="n"/>
      <c r="D27" s="7" t="n"/>
      <c r="E27" s="7" t="n"/>
      <c r="F27" s="7" t="n"/>
      <c r="G27" s="8" t="n"/>
      <c r="H27" s="6" t="n"/>
      <c r="I27" s="7" t="n"/>
    </row>
    <row r="28" ht="22" customHeight="1">
      <c r="A28" s="6" t="n">
        <v>19</v>
      </c>
      <c r="B28" s="7" t="n"/>
      <c r="C28" s="7" t="n"/>
      <c r="D28" s="7" t="n"/>
      <c r="E28" s="7" t="n"/>
      <c r="F28" s="7" t="n"/>
      <c r="G28" s="8" t="n"/>
      <c r="H28" s="6" t="n"/>
      <c r="I28" s="7" t="n"/>
    </row>
    <row r="29" ht="22" customHeight="1">
      <c r="A29" s="6" t="n">
        <v>20</v>
      </c>
      <c r="B29" s="7" t="n"/>
      <c r="C29" s="7" t="n"/>
      <c r="D29" s="7" t="n"/>
      <c r="E29" s="7" t="n"/>
      <c r="F29" s="7" t="n"/>
      <c r="G29" s="8" t="n"/>
      <c r="H29" s="6" t="n"/>
      <c r="I29" s="7" t="n"/>
    </row>
    <row r="30" ht="22" customHeight="1">
      <c r="A30" s="6" t="n">
        <v>21</v>
      </c>
      <c r="B30" s="7" t="n"/>
      <c r="C30" s="7" t="n"/>
      <c r="D30" s="7" t="n"/>
      <c r="E30" s="7" t="n"/>
      <c r="F30" s="7" t="n"/>
      <c r="G30" s="8" t="n"/>
      <c r="H30" s="6" t="n"/>
      <c r="I30" s="7" t="n"/>
    </row>
    <row r="32">
      <c r="A32" s="12" t="inlineStr">
        <is>
          <t>合計（税込）／Total</t>
        </is>
      </c>
      <c r="G32" s="13">
        <f>SUM(G10:G30)</f>
        <v/>
      </c>
      <c r="H32" s="14" t="n"/>
    </row>
    <row r="33">
      <c r="A33" s="15" t="inlineStr">
        <is>
          <t>仮払金（既受領分）／Cash Advance Received</t>
        </is>
      </c>
      <c r="G33" s="16" t="n">
        <v>0</v>
      </c>
      <c r="H33" s="17" t="n"/>
    </row>
    <row r="34">
      <c r="A34" s="18" t="inlineStr">
        <is>
          <t>差引精算額（会社負担）／Net Reimbursement</t>
        </is>
      </c>
      <c r="G34" s="19">
        <f>G32-G33</f>
        <v/>
      </c>
      <c r="H34" s="20" t="n"/>
    </row>
    <row r="36">
      <c r="A36" s="21" t="inlineStr">
        <is>
          <t>申請者</t>
        </is>
      </c>
      <c r="C36" s="21" t="inlineStr">
        <is>
          <t>直属上長</t>
        </is>
      </c>
      <c r="E36" s="21" t="inlineStr">
        <is>
          <t>部門長</t>
        </is>
      </c>
      <c r="G36" s="21" t="inlineStr">
        <is>
          <t>経理部</t>
        </is>
      </c>
      <c r="H36" s="21" t="inlineStr">
        <is>
          <t>総務部</t>
        </is>
      </c>
    </row>
    <row r="37" ht="60" customHeight="1">
      <c r="A37" s="22" t="n"/>
      <c r="C37" s="22" t="n"/>
      <c r="E37" s="22" t="n"/>
      <c r="G37" s="22" t="n"/>
      <c r="H37" s="22" t="n"/>
    </row>
    <row r="38">
      <c r="A38" s="23" t="inlineStr">
        <is>
          <t>（日付）</t>
        </is>
      </c>
      <c r="C38" s="23" t="inlineStr">
        <is>
          <t>（日付）</t>
        </is>
      </c>
      <c r="E38" s="23" t="inlineStr">
        <is>
          <t>（日付）</t>
        </is>
      </c>
      <c r="G38" s="23" t="inlineStr">
        <is>
          <t>（日付）</t>
        </is>
      </c>
      <c r="H38" s="23" t="inlineStr">
        <is>
          <t>（日付）</t>
        </is>
      </c>
    </row>
    <row r="40" ht="36" customHeight="1">
      <c r="A40" s="24" t="inlineStr">
        <is>
          <t>※ 本書の提出期限は毎月25日17:00必着（規程第8条）。遅延の場合は翌々月精算となり、F-007 経費精算遅延始末書の添付が必要です。タクシー上限15,000円超過分は F-021 タクシー代超過利用理由書を添付してください（規程第5条第4項）。</t>
        </is>
      </c>
    </row>
  </sheetData>
  <mergeCells count="32">
    <mergeCell ref="B7:C7"/>
    <mergeCell ref="H38:I38"/>
    <mergeCell ref="A36:B36"/>
    <mergeCell ref="E5:I5"/>
    <mergeCell ref="A33:F33"/>
    <mergeCell ref="H34:I34"/>
    <mergeCell ref="A2:I2"/>
    <mergeCell ref="E4:I4"/>
    <mergeCell ref="E38:F38"/>
    <mergeCell ref="A32:F32"/>
    <mergeCell ref="A37:B37"/>
    <mergeCell ref="H36:I36"/>
    <mergeCell ref="G36"/>
    <mergeCell ref="E6:I6"/>
    <mergeCell ref="H32:I32"/>
    <mergeCell ref="C36:D36"/>
    <mergeCell ref="A40:I40"/>
    <mergeCell ref="A34:F34"/>
    <mergeCell ref="E36:F36"/>
    <mergeCell ref="G38"/>
    <mergeCell ref="H37:I37"/>
    <mergeCell ref="G37"/>
    <mergeCell ref="B6:C6"/>
    <mergeCell ref="A38:B38"/>
    <mergeCell ref="E7:I7"/>
    <mergeCell ref="C38:D38"/>
    <mergeCell ref="B5:C5"/>
    <mergeCell ref="H33:I33"/>
    <mergeCell ref="A1:I1"/>
    <mergeCell ref="C37:D37"/>
    <mergeCell ref="E37:F37"/>
    <mergeCell ref="B4:C4"/>
  </mergeCells>
  <dataValidations count="2">
    <dataValidation sqref="C10:C30" showDropDown="0" showInputMessage="0" showErrorMessage="0" allowBlank="1" errorTitle="区分エラー" error="区分マスタから選択してください" type="list">
      <formula1>"電車,新幹線,飛行機,バス,タクシー（昼間）,タクシー（夜間）,自家用車,宿泊費,接待交際費,会議費,消耗品,通信費,その他"</formula1>
    </dataValidation>
    <dataValidation sqref="H10:H30" showDropDown="0" showInputMessage="0" showErrorMessage="0" allowBlank="1" type="list">
      <formula1>"○,—,電子明細,後日提出"</formula1>
    </dataValidation>
  </dataValidations>
  <printOptions horizontalCentered="1"/>
  <pageMargins left="0.5" right="0.5" top="0.6" bottom="0.6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10" customWidth="1" min="4" max="4"/>
    <col width="22" customWidth="1" min="5" max="5"/>
    <col width="22" customWidth="1" min="6" max="6"/>
    <col width="22" customWidth="1" min="7" max="7"/>
    <col width="14" customWidth="1" min="8" max="8"/>
    <col width="14" customWidth="1" min="9" max="9"/>
    <col width="28" customWidth="1" min="10" max="10"/>
  </cols>
  <sheetData>
    <row r="1" ht="28" customHeight="1">
      <c r="A1" s="25" t="inlineStr">
        <is>
          <t>タクシー利用明細（規程第5条 詳細記録）</t>
        </is>
      </c>
    </row>
    <row r="2" ht="32" customHeight="1">
      <c r="A2" s="26" t="inlineStr">
        <is>
          <t>夜間（23:00以降または終電後）／クライアント同席（事前申請必須）／不可抗力 のいずれかに該当する利用のみ会社負担。上限 15,000円/回。超過分は F-021 を提出のこと。</t>
        </is>
      </c>
    </row>
    <row r="4" ht="32" customHeight="1">
      <c r="A4" s="5" t="inlineStr">
        <is>
          <t>No.</t>
        </is>
      </c>
      <c r="B4" s="5" t="inlineStr">
        <is>
          <t>利用日</t>
        </is>
      </c>
      <c r="C4" s="5" t="inlineStr">
        <is>
          <t>乗車時刻</t>
        </is>
      </c>
      <c r="D4" s="5" t="inlineStr">
        <is>
          <t>降車時刻</t>
        </is>
      </c>
      <c r="E4" s="5" t="inlineStr">
        <is>
          <t>乗車地</t>
        </is>
      </c>
      <c r="F4" s="5" t="inlineStr">
        <is>
          <t>降車地</t>
        </is>
      </c>
      <c r="G4" s="5" t="inlineStr">
        <is>
          <t>利用目的</t>
        </is>
      </c>
      <c r="H4" s="5" t="inlineStr">
        <is>
          <t>金額（税込）</t>
        </is>
      </c>
      <c r="I4" s="5" t="inlineStr">
        <is>
          <t>上限超過</t>
        </is>
      </c>
      <c r="J4" s="5" t="inlineStr">
        <is>
          <t>F-021 / 事前申請 ステータス</t>
        </is>
      </c>
    </row>
    <row r="5" ht="24" customHeight="1">
      <c r="A5" s="6" t="n">
        <v>1</v>
      </c>
      <c r="B5" s="7" t="inlineStr">
        <is>
          <t>2026/05/10</t>
        </is>
      </c>
      <c r="C5" s="6" t="inlineStr">
        <is>
          <t>23:50</t>
        </is>
      </c>
      <c r="D5" s="6" t="inlineStr">
        <is>
          <t>00:18</t>
        </is>
      </c>
      <c r="E5" s="7" t="inlineStr">
        <is>
          <t>渋谷オフィス（東京都渋谷区）</t>
        </is>
      </c>
      <c r="F5" s="7" t="inlineStr">
        <is>
          <t>自宅（世田谷区上馬）</t>
        </is>
      </c>
      <c r="G5" s="7" t="inlineStr">
        <is>
          <t>終電後帰宅（業務終了 23:45）</t>
        </is>
      </c>
      <c r="H5" s="27" t="n">
        <v>4820</v>
      </c>
      <c r="I5" s="6" t="inlineStr">
        <is>
          <t>なし</t>
        </is>
      </c>
      <c r="J5" s="7" t="inlineStr">
        <is>
          <t>—</t>
        </is>
      </c>
    </row>
    <row r="6" ht="24" customHeight="1">
      <c r="A6" s="9" t="n">
        <v>2</v>
      </c>
      <c r="B6" s="10" t="inlineStr">
        <is>
          <t>2026/05/14</t>
        </is>
      </c>
      <c r="C6" s="9" t="inlineStr">
        <is>
          <t>13:20</t>
        </is>
      </c>
      <c r="D6" s="9" t="inlineStr">
        <is>
          <t>13:45</t>
        </is>
      </c>
      <c r="E6" s="10" t="inlineStr">
        <is>
          <t>本社（中央区八重洲）</t>
        </is>
      </c>
      <c r="F6" s="10" t="inlineStr">
        <is>
          <t>B社（千代田区大手町）</t>
        </is>
      </c>
      <c r="G6" s="10" t="inlineStr">
        <is>
          <t>クライアント同席・重要書類運搬</t>
        </is>
      </c>
      <c r="H6" s="28" t="n">
        <v>3180</v>
      </c>
      <c r="I6" s="9" t="inlineStr">
        <is>
          <t>なし</t>
        </is>
      </c>
      <c r="J6" s="10" t="inlineStr">
        <is>
          <t>事前申請: 2026/05/12 承認済（承認者: 高橋部長）</t>
        </is>
      </c>
    </row>
    <row r="7" ht="24" customHeight="1">
      <c r="A7" s="6" t="n">
        <v>3</v>
      </c>
      <c r="B7" s="7" t="inlineStr">
        <is>
          <t>2026/05/18</t>
        </is>
      </c>
      <c r="C7" s="6" t="inlineStr">
        <is>
          <t>00:35</t>
        </is>
      </c>
      <c r="D7" s="6" t="inlineStr">
        <is>
          <t>01:20</t>
        </is>
      </c>
      <c r="E7" s="7" t="inlineStr">
        <is>
          <t>本社（中央区八重洲）</t>
        </is>
      </c>
      <c r="F7" s="7" t="inlineStr">
        <is>
          <t>自宅（練馬区豊玉北）</t>
        </is>
      </c>
      <c r="G7" s="7" t="inlineStr">
        <is>
          <t>深夜帰宅（業務終了 24:30）</t>
        </is>
      </c>
      <c r="H7" s="27" t="n">
        <v>16240</v>
      </c>
      <c r="I7" s="6" t="inlineStr">
        <is>
          <t>あり</t>
        </is>
      </c>
      <c r="J7" s="7" t="inlineStr">
        <is>
          <t>F-021 提出済 / 部長: 5/19承認 / 総務部長: 5/20承認</t>
        </is>
      </c>
    </row>
    <row r="8" ht="22" customHeight="1">
      <c r="A8" s="6" t="n">
        <v>4</v>
      </c>
      <c r="B8" s="7" t="n"/>
      <c r="C8" s="7" t="n"/>
      <c r="D8" s="7" t="n"/>
      <c r="E8" s="7" t="n"/>
      <c r="F8" s="7" t="n"/>
      <c r="G8" s="7" t="n"/>
      <c r="H8" s="27" t="n"/>
      <c r="I8" s="7" t="n"/>
      <c r="J8" s="7" t="n"/>
    </row>
    <row r="9" ht="22" customHeight="1">
      <c r="A9" s="6" t="n">
        <v>5</v>
      </c>
      <c r="B9" s="7" t="n"/>
      <c r="C9" s="7" t="n"/>
      <c r="D9" s="7" t="n"/>
      <c r="E9" s="7" t="n"/>
      <c r="F9" s="7" t="n"/>
      <c r="G9" s="7" t="n"/>
      <c r="H9" s="27" t="n"/>
      <c r="I9" s="7" t="n"/>
      <c r="J9" s="7" t="n"/>
    </row>
    <row r="10" ht="22" customHeight="1">
      <c r="A10" s="6" t="n">
        <v>6</v>
      </c>
      <c r="B10" s="7" t="n"/>
      <c r="C10" s="7" t="n"/>
      <c r="D10" s="7" t="n"/>
      <c r="E10" s="7" t="n"/>
      <c r="F10" s="7" t="n"/>
      <c r="G10" s="7" t="n"/>
      <c r="H10" s="27" t="n"/>
      <c r="I10" s="7" t="n"/>
      <c r="J10" s="7" t="n"/>
    </row>
    <row r="11" ht="22" customHeight="1">
      <c r="A11" s="6" t="n">
        <v>7</v>
      </c>
      <c r="B11" s="7" t="n"/>
      <c r="C11" s="7" t="n"/>
      <c r="D11" s="7" t="n"/>
      <c r="E11" s="7" t="n"/>
      <c r="F11" s="7" t="n"/>
      <c r="G11" s="7" t="n"/>
      <c r="H11" s="27" t="n"/>
      <c r="I11" s="7" t="n"/>
      <c r="J11" s="7" t="n"/>
    </row>
    <row r="12" ht="22" customHeight="1">
      <c r="A12" s="6" t="n">
        <v>8</v>
      </c>
      <c r="B12" s="7" t="n"/>
      <c r="C12" s="7" t="n"/>
      <c r="D12" s="7" t="n"/>
      <c r="E12" s="7" t="n"/>
      <c r="F12" s="7" t="n"/>
      <c r="G12" s="7" t="n"/>
      <c r="H12" s="27" t="n"/>
      <c r="I12" s="7" t="n"/>
      <c r="J12" s="7" t="n"/>
    </row>
    <row r="13" ht="22" customHeight="1">
      <c r="A13" s="6" t="n">
        <v>9</v>
      </c>
      <c r="B13" s="7" t="n"/>
      <c r="C13" s="7" t="n"/>
      <c r="D13" s="7" t="n"/>
      <c r="E13" s="7" t="n"/>
      <c r="F13" s="7" t="n"/>
      <c r="G13" s="7" t="n"/>
      <c r="H13" s="27" t="n"/>
      <c r="I13" s="7" t="n"/>
      <c r="J13" s="7" t="n"/>
    </row>
    <row r="14" ht="22" customHeight="1">
      <c r="A14" s="6" t="n">
        <v>10</v>
      </c>
      <c r="B14" s="7" t="n"/>
      <c r="C14" s="7" t="n"/>
      <c r="D14" s="7" t="n"/>
      <c r="E14" s="7" t="n"/>
      <c r="F14" s="7" t="n"/>
      <c r="G14" s="7" t="n"/>
      <c r="H14" s="27" t="n"/>
      <c r="I14" s="7" t="n"/>
      <c r="J14" s="7" t="n"/>
    </row>
    <row r="15" ht="22" customHeight="1">
      <c r="A15" s="6" t="n">
        <v>11</v>
      </c>
      <c r="B15" s="7" t="n"/>
      <c r="C15" s="7" t="n"/>
      <c r="D15" s="7" t="n"/>
      <c r="E15" s="7" t="n"/>
      <c r="F15" s="7" t="n"/>
      <c r="G15" s="7" t="n"/>
      <c r="H15" s="27" t="n"/>
      <c r="I15" s="7" t="n"/>
      <c r="J15" s="7" t="n"/>
    </row>
  </sheetData>
  <mergeCells count="2">
    <mergeCell ref="A1:J1"/>
    <mergeCell ref="A2:J2"/>
  </mergeCells>
  <dataValidations count="1">
    <dataValidation sqref="I5:I20" showDropDown="0" showInputMessage="0" showErrorMessage="0" allowBlank="1" type="list">
      <formula1>"なし,あり"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 ht="28" customHeight="1">
      <c r="A1" s="25" t="inlineStr">
        <is>
          <t>仮払い精算明細（規程第12条）</t>
        </is>
      </c>
    </row>
    <row r="2" ht="22" customHeight="1">
      <c r="A2" s="29" t="inlineStr">
        <is>
          <t>出張等の前に仮払いを受けた場合、帰着後5営業日以内に本シートを用いて清算すること。</t>
        </is>
      </c>
    </row>
    <row r="4" ht="24" customHeight="1">
      <c r="A4" s="5" t="inlineStr">
        <is>
          <t>No.</t>
        </is>
      </c>
      <c r="B4" s="5" t="inlineStr">
        <is>
          <t>仮払申請日</t>
        </is>
      </c>
      <c r="C4" s="5" t="inlineStr">
        <is>
          <t>目的</t>
        </is>
      </c>
      <c r="D4" s="5" t="inlineStr">
        <is>
          <t>仮払金額</t>
        </is>
      </c>
      <c r="E4" s="5" t="inlineStr">
        <is>
          <t>実費合計</t>
        </is>
      </c>
      <c r="F4" s="5" t="inlineStr">
        <is>
          <t>差額</t>
        </is>
      </c>
      <c r="G4" s="5" t="inlineStr">
        <is>
          <t>備考</t>
        </is>
      </c>
    </row>
    <row r="5">
      <c r="A5" s="6" t="n">
        <v>1</v>
      </c>
      <c r="B5" s="7" t="n"/>
      <c r="C5" s="7" t="n"/>
      <c r="D5" s="27" t="n"/>
      <c r="E5" s="27" t="n"/>
      <c r="F5" s="27">
        <f>D5-E5</f>
        <v/>
      </c>
      <c r="G5" s="7" t="n"/>
    </row>
    <row r="6">
      <c r="A6" s="6" t="n">
        <v>2</v>
      </c>
      <c r="B6" s="7" t="n"/>
      <c r="C6" s="7" t="n"/>
      <c r="D6" s="27" t="n"/>
      <c r="E6" s="27" t="n"/>
      <c r="F6" s="27">
        <f>D6-E6</f>
        <v/>
      </c>
      <c r="G6" s="7" t="n"/>
    </row>
    <row r="7">
      <c r="A7" s="6" t="n">
        <v>3</v>
      </c>
      <c r="B7" s="7" t="n"/>
      <c r="C7" s="7" t="n"/>
      <c r="D7" s="27" t="n"/>
      <c r="E7" s="27" t="n"/>
      <c r="F7" s="27">
        <f>D7-E7</f>
        <v/>
      </c>
      <c r="G7" s="7" t="n"/>
    </row>
    <row r="8">
      <c r="A8" s="6" t="n">
        <v>4</v>
      </c>
      <c r="B8" s="7" t="n"/>
      <c r="C8" s="7" t="n"/>
      <c r="D8" s="27" t="n"/>
      <c r="E8" s="27" t="n"/>
      <c r="F8" s="27">
        <f>D8-E8</f>
        <v/>
      </c>
      <c r="G8" s="7" t="n"/>
    </row>
    <row r="9">
      <c r="A9" s="6" t="n">
        <v>5</v>
      </c>
      <c r="B9" s="7" t="n"/>
      <c r="C9" s="7" t="n"/>
      <c r="D9" s="27" t="n"/>
      <c r="E9" s="27" t="n"/>
      <c r="F9" s="27">
        <f>D9-E9</f>
        <v/>
      </c>
      <c r="G9" s="7" t="n"/>
    </row>
    <row r="10">
      <c r="A10" s="6" t="n">
        <v>6</v>
      </c>
      <c r="B10" s="7" t="n"/>
      <c r="C10" s="7" t="n"/>
      <c r="D10" s="27" t="n"/>
      <c r="E10" s="27" t="n"/>
      <c r="F10" s="27">
        <f>D10-E10</f>
        <v/>
      </c>
      <c r="G10" s="7" t="n"/>
    </row>
    <row r="11">
      <c r="A11" s="6" t="n">
        <v>7</v>
      </c>
      <c r="B11" s="7" t="n"/>
      <c r="C11" s="7" t="n"/>
      <c r="D11" s="27" t="n"/>
      <c r="E11" s="27" t="n"/>
      <c r="F11" s="27">
        <f>D11-E11</f>
        <v/>
      </c>
      <c r="G11" s="7" t="n"/>
    </row>
    <row r="12">
      <c r="A12" s="6" t="n">
        <v>8</v>
      </c>
      <c r="B12" s="7" t="n"/>
      <c r="C12" s="7" t="n"/>
      <c r="D12" s="27" t="n"/>
      <c r="E12" s="27" t="n"/>
      <c r="F12" s="27">
        <f>D12-E12</f>
        <v/>
      </c>
      <c r="G12" s="7" t="n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0" customWidth="1" min="3" max="3"/>
  </cols>
  <sheetData>
    <row r="1" ht="24" customHeight="1">
      <c r="A1" s="21" t="inlineStr">
        <is>
          <t>区分名</t>
        </is>
      </c>
      <c r="B1" s="21" t="inlineStr">
        <is>
          <t>勘定科目</t>
        </is>
      </c>
      <c r="C1" s="21" t="inlineStr">
        <is>
          <t>備考・規程参照</t>
        </is>
      </c>
    </row>
    <row r="2">
      <c r="A2" s="30" t="inlineStr">
        <is>
          <t>電車</t>
        </is>
      </c>
      <c r="B2" s="7" t="inlineStr">
        <is>
          <t>旅費交通費</t>
        </is>
      </c>
      <c r="C2" s="7" t="inlineStr">
        <is>
          <t>規程第4条 / 経済的経路かつ最短時間</t>
        </is>
      </c>
    </row>
    <row r="3">
      <c r="A3" s="30" t="inlineStr">
        <is>
          <t>新幹線</t>
        </is>
      </c>
      <c r="B3" s="7" t="inlineStr">
        <is>
          <t>旅費交通費</t>
        </is>
      </c>
      <c r="C3" s="7" t="inlineStr">
        <is>
          <t>規程第4条第2項 / 100km以上で普通車指定席</t>
        </is>
      </c>
    </row>
    <row r="4">
      <c r="A4" s="30" t="inlineStr">
        <is>
          <t>飛行機</t>
        </is>
      </c>
      <c r="B4" s="7" t="inlineStr">
        <is>
          <t>旅費交通費</t>
        </is>
      </c>
      <c r="C4" s="7" t="inlineStr">
        <is>
          <t>規程第4条第3項 / 300km以上または2時間短縮</t>
        </is>
      </c>
    </row>
    <row r="5">
      <c r="A5" s="30" t="inlineStr">
        <is>
          <t>バス</t>
        </is>
      </c>
      <c r="B5" s="7" t="inlineStr">
        <is>
          <t>旅費交通費</t>
        </is>
      </c>
      <c r="C5" s="7" t="inlineStr">
        <is>
          <t>規程第4条</t>
        </is>
      </c>
    </row>
    <row r="6">
      <c r="A6" s="30" t="inlineStr">
        <is>
          <t>タクシー（昼間）</t>
        </is>
      </c>
      <c r="B6" s="7" t="inlineStr">
        <is>
          <t>旅費交通費</t>
        </is>
      </c>
      <c r="C6" s="7" t="inlineStr">
        <is>
          <t>規程第5条第2項 / クライアント同席等の例外のみ</t>
        </is>
      </c>
    </row>
    <row r="7">
      <c r="A7" s="30" t="inlineStr">
        <is>
          <t>タクシー（夜間）</t>
        </is>
      </c>
      <c r="B7" s="7" t="inlineStr">
        <is>
          <t>旅費交通費</t>
        </is>
      </c>
      <c r="C7" s="7" t="inlineStr">
        <is>
          <t>規程第5条第1項 / 23:00以降または終電後</t>
        </is>
      </c>
    </row>
    <row r="8">
      <c r="A8" s="30" t="inlineStr">
        <is>
          <t>自家用車</t>
        </is>
      </c>
      <c r="B8" s="7" t="inlineStr">
        <is>
          <t>旅費交通費</t>
        </is>
      </c>
      <c r="C8" s="7" t="inlineStr">
        <is>
          <t>規程第6条 / 1km=25円 / F-015 必須</t>
        </is>
      </c>
    </row>
    <row r="9">
      <c r="A9" s="30" t="inlineStr">
        <is>
          <t>宿泊費</t>
        </is>
      </c>
      <c r="B9" s="7" t="inlineStr">
        <is>
          <t>旅費交通費</t>
        </is>
      </c>
      <c r="C9" s="7" t="inlineStr">
        <is>
          <t>規程第7条 / 地域別上限</t>
        </is>
      </c>
    </row>
    <row r="10">
      <c r="A10" s="30" t="inlineStr">
        <is>
          <t>接待交際費</t>
        </is>
      </c>
      <c r="B10" s="7" t="inlineStr">
        <is>
          <t>交際費</t>
        </is>
      </c>
      <c r="C10" s="7" t="inlineStr">
        <is>
          <t>規程第10条 / 5,000円超は F-009</t>
        </is>
      </c>
    </row>
    <row r="11">
      <c r="A11" s="30" t="inlineStr">
        <is>
          <t>会議費</t>
        </is>
      </c>
      <c r="B11" s="7" t="inlineStr">
        <is>
          <t>会議費</t>
        </is>
      </c>
      <c r="C11" s="7" t="inlineStr">
        <is>
          <t>社内会議の弁当代等</t>
        </is>
      </c>
    </row>
    <row r="12">
      <c r="A12" s="30" t="inlineStr">
        <is>
          <t>消耗品</t>
        </is>
      </c>
      <c r="B12" s="7" t="inlineStr">
        <is>
          <t>消耗品費</t>
        </is>
      </c>
      <c r="C12" s="7" t="inlineStr">
        <is>
          <t>—</t>
        </is>
      </c>
    </row>
    <row r="13">
      <c r="A13" s="30" t="inlineStr">
        <is>
          <t>通信費</t>
        </is>
      </c>
      <c r="B13" s="7" t="inlineStr">
        <is>
          <t>通信費</t>
        </is>
      </c>
      <c r="C13" s="7" t="inlineStr">
        <is>
          <t>—</t>
        </is>
      </c>
    </row>
    <row r="14">
      <c r="A14" s="30" t="inlineStr">
        <is>
          <t>その他</t>
        </is>
      </c>
      <c r="B14" s="7" t="inlineStr">
        <is>
          <t>雑費</t>
        </is>
      </c>
      <c r="C14" s="7" t="inlineStr">
        <is>
          <t>上長承認必須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30" customHeight="1">
      <c r="A1" s="25" t="inlineStr">
        <is>
          <t>経費精算テンプレート_v3.xlsx 記入要領</t>
        </is>
      </c>
    </row>
    <row r="2" ht="18" customHeight="1">
      <c r="A2" s="2" t="inlineStr">
        <is>
          <t>準拠規程: 株式会社デモ・ロジスティクス 旅費交通費・経費精算および労務手続き規定（DL-HR-RG-2024-007 第3版）</t>
        </is>
      </c>
    </row>
    <row r="4" ht="22" customHeight="1">
      <c r="A4" s="31" t="inlineStr">
        <is>
          <t>【提出期限】</t>
        </is>
      </c>
    </row>
    <row r="5" ht="22" customHeight="1">
      <c r="A5" s="7" t="inlineStr">
        <is>
          <t xml:space="preserve">　毎月25日 17:00 必着（規程第8条）。</t>
        </is>
      </c>
    </row>
    <row r="6" ht="22" customHeight="1">
      <c r="A6" s="7" t="inlineStr">
        <is>
          <t xml:space="preserve">　25日が土日祝日の場合は、直前の営業日に繰り上げ。</t>
        </is>
      </c>
    </row>
    <row r="7" ht="22" customHeight="1">
      <c r="A7" s="7" t="inlineStr">
        <is>
          <t xml:space="preserve">　期限を過ぎた場合は翌々月精算となり、F-007 経費精算遅延始末書の添付が必要。</t>
        </is>
      </c>
    </row>
    <row r="8" ht="22" customHeight="1">
      <c r="A8" s="7" t="inlineStr">
        <is>
          <t xml:space="preserve">　年度内に3回以上遅延した場合、人事考課のコンピテンシー評価で減点対象。</t>
        </is>
      </c>
    </row>
    <row r="10" ht="22" customHeight="1">
      <c r="A10" s="31" t="inlineStr">
        <is>
          <t>【記入手順】</t>
        </is>
      </c>
    </row>
    <row r="11" ht="22" customHeight="1">
      <c r="A11" s="7" t="inlineStr">
        <is>
          <t xml:space="preserve">　1. 「経費精算書」シートのヘッダー欄（氏名・社員番号・所属・対象期間等）を記入。</t>
        </is>
      </c>
    </row>
    <row r="12" ht="22" customHeight="1">
      <c r="A12" s="7" t="inlineStr">
        <is>
          <t xml:space="preserve">　2. 明細欄に1件1行で経費を記入。「区分」はドロップダウンから選択。</t>
        </is>
      </c>
    </row>
    <row r="13" ht="22" customHeight="1">
      <c r="A13" s="7" t="inlineStr">
        <is>
          <t xml:space="preserve">　3. 領収書欄は ○（原本提出）／—（添付なし）／電子明細／後日提出 から選択。</t>
        </is>
      </c>
    </row>
    <row r="14" ht="22" customHeight="1">
      <c r="A14" s="7" t="inlineStr">
        <is>
          <t xml:space="preserve">　4. タクシー利用は「タクシー利用明細」シートにも記入（規程第5条 詳細記録）。</t>
        </is>
      </c>
    </row>
    <row r="15" ht="22" customHeight="1">
      <c r="A15" s="7" t="inlineStr">
        <is>
          <t xml:space="preserve">　5. 仮払いを受けていた場合は「仮払い精算」シートに記入。</t>
        </is>
      </c>
    </row>
    <row r="16" ht="22" customHeight="1">
      <c r="A16" s="7" t="inlineStr">
        <is>
          <t xml:space="preserve">　6. 合計金額・差引精算額は自動計算（数式が破損しないよう、行の途中挿入は避けること）。</t>
        </is>
      </c>
    </row>
    <row r="17" ht="22" customHeight="1">
      <c r="A17" s="7" t="inlineStr">
        <is>
          <t xml:space="preserve">　7. 直属上長 → 部門長 → 経理 → 総務 の順で承認印を取得。</t>
        </is>
      </c>
    </row>
    <row r="19" ht="22" customHeight="1">
      <c r="A19" s="31" t="inlineStr">
        <is>
          <t>【領収書の取扱い】</t>
        </is>
      </c>
    </row>
    <row r="20" ht="22" customHeight="1">
      <c r="A20" s="7" t="inlineStr">
        <is>
          <t xml:space="preserve">　1件3,000円以上：原則として原本領収書を必須（電子レシート PDF/JPEG も可）。</t>
        </is>
      </c>
    </row>
    <row r="21" ht="22" customHeight="1">
      <c r="A21" s="7" t="inlineStr">
        <is>
          <t xml:space="preserve">　1件3,000円未満：利用日・店舗名・金額・利用目的が判別できる電子明細スクショで代替可。</t>
        </is>
      </c>
    </row>
    <row r="22" ht="22" customHeight="1">
      <c r="A22" s="7" t="inlineStr">
        <is>
          <t xml:space="preserve">　飲食を伴う経費：参加者全員の氏名・所属を必ず明記。1人あたり5,000円超の接待は F-009 事前申請必須。</t>
        </is>
      </c>
    </row>
    <row r="24" ht="22" customHeight="1">
      <c r="A24" s="31" t="inlineStr">
        <is>
          <t>【タクシー代の重要ルール（規程第5条）】</t>
        </is>
      </c>
    </row>
    <row r="25" ht="22" customHeight="1">
      <c r="A25" s="7" t="inlineStr">
        <is>
          <t xml:space="preserve">　夜間（23:00以降）または終電後の業務終了帰宅 → 会社負担可。</t>
        </is>
      </c>
    </row>
    <row r="26" ht="22" customHeight="1">
      <c r="A26" s="7" t="inlineStr">
        <is>
          <t xml:space="preserve">　昼間のタクシー → 原則NG。例外は ①クライアント同席+事前申請、②重量物/機密物運搬、③不可抗力。</t>
        </is>
      </c>
    </row>
    <row r="27" ht="22" customHeight="1">
      <c r="A27" s="7" t="inlineStr">
        <is>
          <t xml:space="preserve">　1回 15,000円（税込）が上限。超過分は F-021 タクシー代超過利用理由書を提出（部長＋総務部長の二者承認）。</t>
        </is>
      </c>
    </row>
    <row r="28" ht="22" customHeight="1">
      <c r="A28" s="7" t="inlineStr">
        <is>
          <t xml:space="preserve">　F-021 の提出期限は利用日の翌々営業日 17:00 まで。それ以降は全額自己負担。</t>
        </is>
      </c>
    </row>
    <row r="29" ht="22" customHeight="1">
      <c r="A29" s="7" t="inlineStr">
        <is>
          <t xml:space="preserve">　私的飲食後の帰宅、自宅最寄り駅までのタクシー、観光混在の移動は会社負担対象外。</t>
        </is>
      </c>
    </row>
    <row r="31" ht="22" customHeight="1">
      <c r="A31" s="31" t="inlineStr">
        <is>
          <t>【フォーマット利用上の注意】</t>
        </is>
      </c>
    </row>
    <row r="32" ht="22" customHeight="1">
      <c r="A32" s="7" t="inlineStr">
        <is>
          <t xml:space="preserve">　本テンプレートは v3 です。v2以前のフォーマットでの申請は受理されません（規程第9条第3項）。</t>
        </is>
      </c>
    </row>
    <row r="33" ht="22" customHeight="1">
      <c r="A33" s="7" t="inlineStr">
        <is>
          <t xml:space="preserve">　本ファイルは Google Drive 上で配布されます。原本のセル構造・数式を変更しないでください。</t>
        </is>
      </c>
    </row>
    <row r="34" ht="22" customHeight="1">
      <c r="A34" s="7" t="inlineStr">
        <is>
          <t xml:space="preserve">　編集する場合は、ローカルにダウンロードしてから記入し、ワークフローシステム Coconala-Flow にアップロードしてください。</t>
        </is>
      </c>
    </row>
    <row r="35" ht="22" customHeight="1">
      <c r="A35" s="7" t="inlineStr">
        <is>
          <t xml:space="preserve">　ファイル名は「経費精算_YYYY-MM_氏名.xlsx」の形式で保存することを推奨します。</t>
        </is>
      </c>
    </row>
    <row r="37" ht="22" customHeight="1">
      <c r="A37" s="31" t="inlineStr">
        <is>
          <t>【お問い合わせ】</t>
        </is>
      </c>
    </row>
    <row r="38" ht="22" customHeight="1">
      <c r="A38" s="7" t="inlineStr">
        <is>
          <t xml:space="preserve">　経費・支払関連: 経理部 鈴木 美咲（内線 1456 / suzuki.misaki@demo-logistics.example.co.jp）</t>
        </is>
      </c>
    </row>
    <row r="39" ht="22" customHeight="1">
      <c r="A39" s="7" t="inlineStr">
        <is>
          <t xml:space="preserve">　規程・労務関連: 総務部 佐藤 健一（内線 1234 / sato.kenichi@demo-logistics.example.co.jp）</t>
        </is>
      </c>
    </row>
    <row r="40" ht="22" customHeight="1">
      <c r="A40" s="7" t="inlineStr">
        <is>
          <t xml:space="preserve">　シフト・夜勤関連: 物流部 田中 浩二（内線 2210）</t>
        </is>
      </c>
    </row>
  </sheetData>
  <mergeCells count="34">
    <mergeCell ref="A24:B24"/>
    <mergeCell ref="A15:B15"/>
    <mergeCell ref="A11:B11"/>
    <mergeCell ref="A1:B1"/>
    <mergeCell ref="A6:B6"/>
    <mergeCell ref="A16:B16"/>
    <mergeCell ref="A7:B7"/>
    <mergeCell ref="A25:B25"/>
    <mergeCell ref="A37:B37"/>
    <mergeCell ref="A27:B27"/>
    <mergeCell ref="A12:B12"/>
    <mergeCell ref="A26:B26"/>
    <mergeCell ref="A21:B21"/>
    <mergeCell ref="A2:B2"/>
    <mergeCell ref="A33:B33"/>
    <mergeCell ref="A5:B5"/>
    <mergeCell ref="A32:B32"/>
    <mergeCell ref="A14:B14"/>
    <mergeCell ref="A17:B17"/>
    <mergeCell ref="A8:B8"/>
    <mergeCell ref="A22:B22"/>
    <mergeCell ref="A35:B35"/>
    <mergeCell ref="A4:B4"/>
    <mergeCell ref="A20:B20"/>
    <mergeCell ref="A38:B38"/>
    <mergeCell ref="A29:B29"/>
    <mergeCell ref="A19:B19"/>
    <mergeCell ref="A10:B10"/>
    <mergeCell ref="A28:B28"/>
    <mergeCell ref="A13:B13"/>
    <mergeCell ref="A40:B40"/>
    <mergeCell ref="A31:B31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株式会社デモ・ロジスティクス 総務部</dc:creator>
  <dc:title>経費精算テンプレート_v3</dc:title>
  <dc:description>規程 DL-HR-RG-2024-007 準拠 / Dify x n8n ポートフォリオデモ用ダミーファイル</dc:description>
  <dc:subject>Expense Reimbursement Template (Dummy)</dc:subject>
  <dcterms:created xsi:type="dcterms:W3CDTF">2026-05-30T22:11:12Z</dcterms:created>
  <dcterms:modified xsi:type="dcterms:W3CDTF">2026-05-30T22:11:12Z</dcterms:modified>
  <cp:lastModifiedBy>Demo-Logi-Bot</cp:lastModifiedBy>
  <cp:keywords>経費精算, 旅費交通費, タクシー, 規程, デモ</cp:keywords>
</cp:coreProperties>
</file>