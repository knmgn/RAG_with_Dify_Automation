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  <sheet name="Rideshare Log" sheetId="2" state="visible" r:id="rId2"/>
    <sheet name="Cash Advance" sheetId="3" state="visible" r:id="rId3"/>
    <sheet name="Categories" sheetId="4" state="visible" r:id="rId4"/>
    <sheet name="Instructions" sheetId="5" state="visible" r:id="rId5"/>
  </sheets>
  <definedNames>
    <definedName name="_xlnm.Print_Titles" localSheetId="0">'Expense Report'!$1:$9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595959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b val="1"/>
      <color rgb="00C00000"/>
      <sz val="12"/>
    </font>
    <font>
      <name val="Calibri"/>
      <color rgb="00808080"/>
      <sz val="8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A9E"/>
      </patternFill>
    </fill>
    <fill>
      <patternFill patternType="solid">
        <fgColor rgb="00FAFA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 indent="1"/>
    </xf>
    <xf numFmtId="164" fontId="5" fillId="0" borderId="1" applyAlignment="1" pivotButton="0" quotePrefix="0" xfId="0">
      <alignment horizontal="right" vertical="center" inden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 indent="1"/>
    </xf>
    <xf numFmtId="164" fontId="5" fillId="5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right" vertical="center" indent="1"/>
    </xf>
    <xf numFmtId="164" fontId="7" fillId="3" borderId="1" applyAlignment="1" pivotButton="0" quotePrefix="0" xfId="0">
      <alignment horizontal="right" vertical="center" indent="1"/>
    </xf>
    <xf numFmtId="0" fontId="0" fillId="3" borderId="1" pivotButton="0" quotePrefix="0" xfId="0"/>
    <xf numFmtId="0" fontId="5" fillId="0" borderId="1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6" fillId="6" borderId="1" applyAlignment="1" pivotButton="0" quotePrefix="0" xfId="0">
      <alignment horizontal="right" vertical="center" indent="1"/>
    </xf>
    <xf numFmtId="164" fontId="7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 indent="1"/>
    </xf>
    <xf numFmtId="0" fontId="9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28" customWidth="1" min="4" max="4"/>
    <col width="26" customWidth="1" min="5" max="5"/>
    <col width="18" customWidth="1" min="6" max="6"/>
    <col width="14" customWidth="1" min="7" max="7"/>
    <col width="10" customWidth="1" min="8" max="8"/>
    <col width="24" customWidth="1" min="9" max="9"/>
  </cols>
  <sheetData>
    <row r="1" ht="32" customHeight="1">
      <c r="A1" s="1" t="inlineStr">
        <is>
          <t>Expense Reimbursement Form</t>
        </is>
      </c>
    </row>
    <row r="2" ht="18" customHeight="1">
      <c r="A2" s="2" t="inlineStr">
        <is>
          <t>Form No. F-001-v3 / Governing policy: NL-HR-RG-2024-007 (Revision 3, revised October 1, 2024)</t>
        </is>
      </c>
    </row>
    <row r="4">
      <c r="A4" s="3" t="inlineStr">
        <is>
          <t>Date</t>
        </is>
      </c>
      <c r="B4" s="4" t="inlineStr">
        <is>
          <t>05/26/2026</t>
        </is>
      </c>
      <c r="D4" s="3" t="inlineStr">
        <is>
          <t>Report No.</t>
        </is>
      </c>
      <c r="E4" s="4" t="inlineStr">
        <is>
          <t>EX-2026-05-0123</t>
        </is>
      </c>
    </row>
    <row r="5">
      <c r="A5" s="3" t="inlineStr">
        <is>
          <t>Name</t>
        </is>
      </c>
      <c r="B5" s="4" t="inlineStr">
        <is>
          <t>Jordan Smith</t>
        </is>
      </c>
      <c r="D5" s="3" t="inlineStr">
        <is>
          <t>Employee ID</t>
        </is>
      </c>
      <c r="E5" s="4" t="inlineStr">
        <is>
          <t>NL-04321</t>
        </is>
      </c>
    </row>
    <row r="6">
      <c r="A6" s="3" t="inlineStr">
        <is>
          <t>Department</t>
        </is>
      </c>
      <c r="B6" s="4" t="inlineStr">
        <is>
          <t>Sales, Enterprise Accounts</t>
        </is>
      </c>
      <c r="D6" s="3" t="inlineStr">
        <is>
          <t>Title</t>
        </is>
      </c>
      <c r="E6" s="4" t="inlineStr">
        <is>
          <t>Account Manager</t>
        </is>
      </c>
    </row>
    <row r="7">
      <c r="A7" s="3" t="inlineStr">
        <is>
          <t>Period</t>
        </is>
      </c>
      <c r="B7" s="4" t="inlineStr">
        <is>
          <t>05/01/2026 – 05/25/2026</t>
        </is>
      </c>
      <c r="D7" s="3" t="inlineStr">
        <is>
          <t>Payment date</t>
        </is>
      </c>
      <c r="E7" s="4" t="inlineStr">
        <is>
          <t>06/25/2026 (payroll date)</t>
        </is>
      </c>
    </row>
    <row r="9" ht="28" customHeight="1">
      <c r="A9" s="5" t="inlineStr">
        <is>
          <t>No.</t>
        </is>
      </c>
      <c r="B9" s="5" t="inlineStr">
        <is>
          <t>Date</t>
        </is>
      </c>
      <c r="C9" s="5" t="inlineStr">
        <is>
          <t>Category</t>
        </is>
      </c>
      <c r="D9" s="5" t="inlineStr">
        <is>
          <t>Description / purpose</t>
        </is>
      </c>
      <c r="E9" s="5" t="inlineStr">
        <is>
          <t>Route / location</t>
        </is>
      </c>
      <c r="F9" s="5" t="inlineStr">
        <is>
          <t>Attendees / co-riders</t>
        </is>
      </c>
      <c r="G9" s="5" t="inlineStr">
        <is>
          <t>Amount (USD)</t>
        </is>
      </c>
      <c r="H9" s="5" t="inlineStr">
        <is>
          <t>Receipt</t>
        </is>
      </c>
      <c r="I9" s="5" t="inlineStr">
        <is>
          <t>Notes (F-021, etc.)</t>
        </is>
      </c>
    </row>
    <row r="10" ht="22" customHeight="1">
      <c r="A10" s="6" t="n">
        <v>1</v>
      </c>
      <c r="B10" s="7" t="inlineStr">
        <is>
          <t>05/08/2026</t>
        </is>
      </c>
      <c r="C10" s="7" t="inlineStr">
        <is>
          <t>Rail</t>
        </is>
      </c>
      <c r="D10" s="7" t="inlineStr">
        <is>
          <t>Client visit, Acme Corp</t>
        </is>
      </c>
      <c r="E10" s="7" t="inlineStr">
        <is>
          <t>Philadelphia ↔ New York (round trip)</t>
        </is>
      </c>
      <c r="F10" s="7" t="inlineStr">
        <is>
          <t>—</t>
        </is>
      </c>
      <c r="G10" s="8" t="n">
        <v>186</v>
      </c>
      <c r="H10" s="6" t="inlineStr">
        <is>
          <t>Yes</t>
        </is>
      </c>
      <c r="I10" s="7" t="inlineStr"/>
    </row>
    <row r="11" ht="22" customHeight="1">
      <c r="A11" s="9" t="n">
        <v>2</v>
      </c>
      <c r="B11" s="10" t="inlineStr">
        <is>
          <t>05/10/2026</t>
        </is>
      </c>
      <c r="C11" s="10" t="inlineStr">
        <is>
          <t>Rideshare (late night)</t>
        </is>
      </c>
      <c r="D11" s="10" t="inlineStr">
        <is>
          <t>Ride home after work ended late</t>
        </is>
      </c>
      <c r="E11" s="10" t="inlineStr">
        <is>
          <t>Office (Midtown) → Home (Queens)</t>
        </is>
      </c>
      <c r="F11" s="10" t="inlineStr">
        <is>
          <t>—</t>
        </is>
      </c>
      <c r="G11" s="11" t="n">
        <v>48.2</v>
      </c>
      <c r="H11" s="9" t="inlineStr">
        <is>
          <t>Yes</t>
        </is>
      </c>
      <c r="I11" s="10" t="inlineStr">
        <is>
          <t>Work ended 11:45 PM / after last train</t>
        </is>
      </c>
    </row>
    <row r="12" ht="22" customHeight="1">
      <c r="A12" s="6" t="n">
        <v>3</v>
      </c>
      <c r="B12" s="7" t="inlineStr">
        <is>
          <t>05/14/2026</t>
        </is>
      </c>
      <c r="C12" s="7" t="inlineStr">
        <is>
          <t>Rideshare (daytime)</t>
        </is>
      </c>
      <c r="D12" s="7" t="inlineStr">
        <is>
          <t>Carrying original contracts with client</t>
        </is>
      </c>
      <c r="E12" s="7" t="inlineStr">
        <is>
          <t>HQ → Beta Inc. (Financial District)</t>
        </is>
      </c>
      <c r="F12" s="7" t="inlineStr">
        <is>
          <t>Ms. Lee (Beta Inc.) rode along</t>
        </is>
      </c>
      <c r="G12" s="8" t="n">
        <v>31.8</v>
      </c>
      <c r="H12" s="6" t="inlineStr">
        <is>
          <t>Yes</t>
        </is>
      </c>
      <c r="I12" s="7" t="inlineStr">
        <is>
          <t>Pre-approved 05/12/2026</t>
        </is>
      </c>
    </row>
    <row r="13" ht="22" customHeight="1">
      <c r="A13" s="9" t="n">
        <v>4</v>
      </c>
      <c r="B13" s="10" t="inlineStr">
        <is>
          <t>05/16/2026</t>
        </is>
      </c>
      <c r="C13" s="10" t="inlineStr">
        <is>
          <t>Air</t>
        </is>
      </c>
      <c r="D13" s="10" t="inlineStr">
        <is>
          <t>Joint meeting with Chicago branch</t>
        </is>
      </c>
      <c r="E13" s="10" t="inlineStr">
        <is>
          <t>LGA → ORD (economy)</t>
        </is>
      </c>
      <c r="F13" s="10" t="inlineStr">
        <is>
          <t>—</t>
        </is>
      </c>
      <c r="G13" s="11" t="n">
        <v>247.3</v>
      </c>
      <c r="H13" s="9" t="inlineStr">
        <is>
          <t>Yes</t>
        </is>
      </c>
      <c r="I13" s="10" t="inlineStr"/>
    </row>
    <row r="14" ht="22" customHeight="1">
      <c r="A14" s="6" t="n">
        <v>5</v>
      </c>
      <c r="B14" s="7" t="inlineStr">
        <is>
          <t>05/16/2026</t>
        </is>
      </c>
      <c r="C14" s="7" t="inlineStr">
        <is>
          <t>Lodging</t>
        </is>
      </c>
      <c r="D14" s="7" t="inlineStr">
        <is>
          <t>Business trip lodging (Chicago)</t>
        </is>
      </c>
      <c r="E14" s="7" t="inlineStr">
        <is>
          <t>Hotel ABC, Chicago</t>
        </is>
      </c>
      <c r="F14" s="7" t="inlineStr">
        <is>
          <t>—</t>
        </is>
      </c>
      <c r="G14" s="8" t="n">
        <v>205</v>
      </c>
      <c r="H14" s="6" t="inlineStr">
        <is>
          <t>Yes</t>
        </is>
      </c>
      <c r="I14" s="7" t="inlineStr">
        <is>
          <t>Within USD 220 cap</t>
        </is>
      </c>
    </row>
    <row r="15" ht="22" customHeight="1">
      <c r="A15" s="9" t="n">
        <v>6</v>
      </c>
      <c r="B15" s="10" t="inlineStr">
        <is>
          <t>05/18/2026</t>
        </is>
      </c>
      <c r="C15" s="10" t="inlineStr">
        <is>
          <t>Rideshare (late night)</t>
        </is>
      </c>
      <c r="D15" s="10" t="inlineStr">
        <is>
          <t>Ride home (work ended 12:30 AM)</t>
        </is>
      </c>
      <c r="E15" s="10" t="inlineStr">
        <is>
          <t>HQ → Home (Westchester)</t>
        </is>
      </c>
      <c r="F15" s="10" t="inlineStr">
        <is>
          <t>—</t>
        </is>
      </c>
      <c r="G15" s="11" t="n">
        <v>132.4</v>
      </c>
      <c r="H15" s="9" t="inlineStr">
        <is>
          <t>Yes</t>
        </is>
      </c>
      <c r="I15" s="10" t="inlineStr">
        <is>
          <t>Over cap: F-021 submitted (dept head + People Ops approval)</t>
        </is>
      </c>
    </row>
    <row r="16" ht="22" customHeight="1">
      <c r="A16" s="6" t="n">
        <v>7</v>
      </c>
      <c r="B16" s="7" t="inlineStr">
        <is>
          <t>05/20/2026</t>
        </is>
      </c>
      <c r="C16" s="7" t="inlineStr">
        <is>
          <t>Client entertainment</t>
        </is>
      </c>
      <c r="D16" s="7" t="inlineStr">
        <is>
          <t>Dinner with Gamma Co. executives</t>
        </is>
      </c>
      <c r="E16" s="7" t="inlineStr">
        <is>
          <t>Restaurant XYZ, Manhattan</t>
        </is>
      </c>
      <c r="F16" s="7" t="inlineStr">
        <is>
          <t>Mr. Tanaka, Ms. Park (Gamma Co.); J. Smith</t>
        </is>
      </c>
      <c r="G16" s="8" t="n">
        <v>286</v>
      </c>
      <c r="H16" s="6" t="inlineStr">
        <is>
          <t>Yes</t>
        </is>
      </c>
      <c r="I16" s="7" t="inlineStr">
        <is>
          <t>F-009 pre-approved / USD 95.33 per person</t>
        </is>
      </c>
    </row>
    <row r="17" ht="22" customHeight="1">
      <c r="A17" s="9" t="n">
        <v>8</v>
      </c>
      <c r="B17" s="10" t="inlineStr">
        <is>
          <t>05/22/2026</t>
        </is>
      </c>
      <c r="C17" s="10" t="inlineStr">
        <is>
          <t>Supplies</t>
        </is>
      </c>
      <c r="D17" s="10" t="inlineStr">
        <is>
          <t>Printer toner</t>
        </is>
      </c>
      <c r="E17" s="10" t="inlineStr">
        <is>
          <t>Amazon</t>
        </is>
      </c>
      <c r="F17" s="10" t="inlineStr">
        <is>
          <t>—</t>
        </is>
      </c>
      <c r="G17" s="11" t="n">
        <v>41.8</v>
      </c>
      <c r="H17" s="9" t="inlineStr">
        <is>
          <t>Yes</t>
        </is>
      </c>
      <c r="I17" s="10" t="inlineStr">
        <is>
          <t>Online order screenshot attached</t>
        </is>
      </c>
    </row>
    <row r="18" ht="22" customHeight="1">
      <c r="A18" s="6" t="n">
        <v>9</v>
      </c>
      <c r="B18" s="7" t="inlineStr">
        <is>
          <t>05/24/2026</t>
        </is>
      </c>
      <c r="C18" s="7" t="inlineStr">
        <is>
          <t>Public transit</t>
        </is>
      </c>
      <c r="D18" s="7" t="inlineStr">
        <is>
          <t>People Operations meeting</t>
        </is>
      </c>
      <c r="E18" s="7" t="inlineStr">
        <is>
          <t>Subway (round trip)</t>
        </is>
      </c>
      <c r="F18" s="7" t="inlineStr">
        <is>
          <t>—</t>
        </is>
      </c>
      <c r="G18" s="8" t="n">
        <v>5.8</v>
      </c>
      <c r="H18" s="6" t="inlineStr">
        <is>
          <t>—</t>
        </is>
      </c>
      <c r="I18" s="7" t="inlineStr">
        <is>
          <t>Under USD 25: statement screenshot</t>
        </is>
      </c>
    </row>
    <row r="19" ht="22" customHeight="1">
      <c r="A19" s="6" t="n">
        <v>10</v>
      </c>
      <c r="B19" s="7" t="n"/>
      <c r="C19" s="7" t="n"/>
      <c r="D19" s="7" t="n"/>
      <c r="E19" s="7" t="n"/>
      <c r="F19" s="7" t="n"/>
      <c r="G19" s="8" t="n"/>
      <c r="H19" s="6" t="n"/>
      <c r="I19" s="7" t="n"/>
    </row>
    <row r="20" ht="22" customHeight="1">
      <c r="A20" s="6" t="n">
        <v>11</v>
      </c>
      <c r="B20" s="7" t="n"/>
      <c r="C20" s="7" t="n"/>
      <c r="D20" s="7" t="n"/>
      <c r="E20" s="7" t="n"/>
      <c r="F20" s="7" t="n"/>
      <c r="G20" s="8" t="n"/>
      <c r="H20" s="6" t="n"/>
      <c r="I20" s="7" t="n"/>
    </row>
    <row r="21" ht="22" customHeight="1">
      <c r="A21" s="6" t="n">
        <v>12</v>
      </c>
      <c r="B21" s="7" t="n"/>
      <c r="C21" s="7" t="n"/>
      <c r="D21" s="7" t="n"/>
      <c r="E21" s="7" t="n"/>
      <c r="F21" s="7" t="n"/>
      <c r="G21" s="8" t="n"/>
      <c r="H21" s="6" t="n"/>
      <c r="I21" s="7" t="n"/>
    </row>
    <row r="22" ht="22" customHeight="1">
      <c r="A22" s="6" t="n">
        <v>13</v>
      </c>
      <c r="B22" s="7" t="n"/>
      <c r="C22" s="7" t="n"/>
      <c r="D22" s="7" t="n"/>
      <c r="E22" s="7" t="n"/>
      <c r="F22" s="7" t="n"/>
      <c r="G22" s="8" t="n"/>
      <c r="H22" s="6" t="n"/>
      <c r="I22" s="7" t="n"/>
    </row>
    <row r="23" ht="22" customHeight="1">
      <c r="A23" s="6" t="n">
        <v>14</v>
      </c>
      <c r="B23" s="7" t="n"/>
      <c r="C23" s="7" t="n"/>
      <c r="D23" s="7" t="n"/>
      <c r="E23" s="7" t="n"/>
      <c r="F23" s="7" t="n"/>
      <c r="G23" s="8" t="n"/>
      <c r="H23" s="6" t="n"/>
      <c r="I23" s="7" t="n"/>
    </row>
    <row r="24" ht="22" customHeight="1">
      <c r="A24" s="6" t="n">
        <v>15</v>
      </c>
      <c r="B24" s="7" t="n"/>
      <c r="C24" s="7" t="n"/>
      <c r="D24" s="7" t="n"/>
      <c r="E24" s="7" t="n"/>
      <c r="F24" s="7" t="n"/>
      <c r="G24" s="8" t="n"/>
      <c r="H24" s="6" t="n"/>
      <c r="I24" s="7" t="n"/>
    </row>
    <row r="25" ht="22" customHeight="1">
      <c r="A25" s="6" t="n">
        <v>16</v>
      </c>
      <c r="B25" s="7" t="n"/>
      <c r="C25" s="7" t="n"/>
      <c r="D25" s="7" t="n"/>
      <c r="E25" s="7" t="n"/>
      <c r="F25" s="7" t="n"/>
      <c r="G25" s="8" t="n"/>
      <c r="H25" s="6" t="n"/>
      <c r="I25" s="7" t="n"/>
    </row>
    <row r="26" ht="22" customHeight="1">
      <c r="A26" s="6" t="n">
        <v>17</v>
      </c>
      <c r="B26" s="7" t="n"/>
      <c r="C26" s="7" t="n"/>
      <c r="D26" s="7" t="n"/>
      <c r="E26" s="7" t="n"/>
      <c r="F26" s="7" t="n"/>
      <c r="G26" s="8" t="n"/>
      <c r="H26" s="6" t="n"/>
      <c r="I26" s="7" t="n"/>
    </row>
    <row r="27" ht="22" customHeight="1">
      <c r="A27" s="6" t="n">
        <v>18</v>
      </c>
      <c r="B27" s="7" t="n"/>
      <c r="C27" s="7" t="n"/>
      <c r="D27" s="7" t="n"/>
      <c r="E27" s="7" t="n"/>
      <c r="F27" s="7" t="n"/>
      <c r="G27" s="8" t="n"/>
      <c r="H27" s="6" t="n"/>
      <c r="I27" s="7" t="n"/>
    </row>
    <row r="28" ht="22" customHeight="1">
      <c r="A28" s="6" t="n">
        <v>19</v>
      </c>
      <c r="B28" s="7" t="n"/>
      <c r="C28" s="7" t="n"/>
      <c r="D28" s="7" t="n"/>
      <c r="E28" s="7" t="n"/>
      <c r="F28" s="7" t="n"/>
      <c r="G28" s="8" t="n"/>
      <c r="H28" s="6" t="n"/>
      <c r="I28" s="7" t="n"/>
    </row>
    <row r="29" ht="22" customHeight="1">
      <c r="A29" s="6" t="n">
        <v>20</v>
      </c>
      <c r="B29" s="7" t="n"/>
      <c r="C29" s="7" t="n"/>
      <c r="D29" s="7" t="n"/>
      <c r="E29" s="7" t="n"/>
      <c r="F29" s="7" t="n"/>
      <c r="G29" s="8" t="n"/>
      <c r="H29" s="6" t="n"/>
      <c r="I29" s="7" t="n"/>
    </row>
    <row r="30" ht="22" customHeight="1">
      <c r="A30" s="6" t="n">
        <v>21</v>
      </c>
      <c r="B30" s="7" t="n"/>
      <c r="C30" s="7" t="n"/>
      <c r="D30" s="7" t="n"/>
      <c r="E30" s="7" t="n"/>
      <c r="F30" s="7" t="n"/>
      <c r="G30" s="8" t="n"/>
      <c r="H30" s="6" t="n"/>
      <c r="I30" s="7" t="n"/>
    </row>
    <row r="32">
      <c r="A32" s="12" t="inlineStr">
        <is>
          <t>Total</t>
        </is>
      </c>
      <c r="G32" s="13">
        <f>SUM(G10:G30)</f>
        <v/>
      </c>
      <c r="H32" s="14" t="n"/>
    </row>
    <row r="33">
      <c r="A33" s="15" t="inlineStr">
        <is>
          <t>Cash advance received</t>
        </is>
      </c>
      <c r="G33" s="16" t="n">
        <v>0</v>
      </c>
      <c r="H33" s="17" t="n"/>
    </row>
    <row r="34">
      <c r="A34" s="18" t="inlineStr">
        <is>
          <t>Net reimbursement</t>
        </is>
      </c>
      <c r="G34" s="19">
        <f>G32-G33</f>
        <v/>
      </c>
      <c r="H34" s="20" t="n"/>
    </row>
    <row r="36">
      <c r="A36" s="21" t="inlineStr">
        <is>
          <t>Employee</t>
        </is>
      </c>
      <c r="C36" s="21" t="inlineStr">
        <is>
          <t>Manager</t>
        </is>
      </c>
      <c r="E36" s="21" t="inlineStr">
        <is>
          <t>Department head</t>
        </is>
      </c>
      <c r="G36" s="21" t="inlineStr">
        <is>
          <t>Accounts Payable</t>
        </is>
      </c>
      <c r="H36" s="21" t="inlineStr">
        <is>
          <t>People Operations</t>
        </is>
      </c>
    </row>
    <row r="37" ht="60" customHeight="1">
      <c r="A37" s="22" t="n"/>
      <c r="C37" s="22" t="n"/>
      <c r="E37" s="22" t="n"/>
      <c r="G37" s="22" t="n"/>
      <c r="H37" s="22" t="n"/>
    </row>
    <row r="38">
      <c r="A38" s="23" t="inlineStr">
        <is>
          <t>(date)</t>
        </is>
      </c>
      <c r="C38" s="23" t="inlineStr">
        <is>
          <t>(date)</t>
        </is>
      </c>
      <c r="E38" s="23" t="inlineStr">
        <is>
          <t>(date)</t>
        </is>
      </c>
      <c r="G38" s="23" t="inlineStr">
        <is>
          <t>(date)</t>
        </is>
      </c>
      <c r="H38" s="23" t="inlineStr">
        <is>
          <t>(date)</t>
        </is>
      </c>
    </row>
    <row r="40" ht="36" customHeight="1">
      <c r="A40" s="24" t="inlineStr">
        <is>
          <t>* Reports must be received by 5:00 PM on the 25th of each month (Article 8). Late reports are reimbursed in the month after next and require a Late Submission Explanation (F-007). For rideshare/taxi fares above the USD 100 per-ride cap, attach the Excess Justification Form F-021 (Article 5, Clause 4).</t>
        </is>
      </c>
    </row>
  </sheetData>
  <mergeCells count="32">
    <mergeCell ref="B7:C7"/>
    <mergeCell ref="H38:I38"/>
    <mergeCell ref="A36:B36"/>
    <mergeCell ref="E5:I5"/>
    <mergeCell ref="A33:F33"/>
    <mergeCell ref="H34:I34"/>
    <mergeCell ref="A2:I2"/>
    <mergeCell ref="E4:I4"/>
    <mergeCell ref="E38:F38"/>
    <mergeCell ref="A32:F32"/>
    <mergeCell ref="A37:B37"/>
    <mergeCell ref="H36:I36"/>
    <mergeCell ref="G36"/>
    <mergeCell ref="E6:I6"/>
    <mergeCell ref="H32:I32"/>
    <mergeCell ref="C36:D36"/>
    <mergeCell ref="A40:I40"/>
    <mergeCell ref="A34:F34"/>
    <mergeCell ref="E36:F36"/>
    <mergeCell ref="G38"/>
    <mergeCell ref="H37:I37"/>
    <mergeCell ref="G37"/>
    <mergeCell ref="B6:C6"/>
    <mergeCell ref="A38:B38"/>
    <mergeCell ref="E7:I7"/>
    <mergeCell ref="C38:D38"/>
    <mergeCell ref="B5:C5"/>
    <mergeCell ref="H33:I33"/>
    <mergeCell ref="A1:I1"/>
    <mergeCell ref="C37:D37"/>
    <mergeCell ref="E37:F37"/>
    <mergeCell ref="B4:C4"/>
  </mergeCells>
  <dataValidations count="2">
    <dataValidation sqref="C10:C30" showDropDown="0" showInputMessage="0" showErrorMessage="0" allowBlank="1" errorTitle="Invalid category" error="Choose a category from the Categories sheet" type="list">
      <formula1>"Public transit,Rail,Air,Bus,Rideshare (daytime),Rideshare (late night),Personal vehicle,Lodging,Client entertainment,Meetings,Supplies,Phone &amp; internet,Other"</formula1>
    </dataValidation>
    <dataValidation sqref="H10:H30" showDropDown="0" showInputMessage="0" showErrorMessage="0" allowBlank="1" type="list">
      <formula1>"Yes,—,E-statement,To follow"</formula1>
    </dataValidation>
  </dataValidations>
  <printOptions horizontalCentered="1"/>
  <pageMargins left="0.5" right="0.5" top="0.6" bottom="0.6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10" customWidth="1" min="4" max="4"/>
    <col width="22" customWidth="1" min="5" max="5"/>
    <col width="22" customWidth="1" min="6" max="6"/>
    <col width="22" customWidth="1" min="7" max="7"/>
    <col width="14" customWidth="1" min="8" max="8"/>
    <col width="14" customWidth="1" min="9" max="9"/>
    <col width="28" customWidth="1" min="10" max="10"/>
  </cols>
  <sheetData>
    <row r="1" ht="28" customHeight="1">
      <c r="A1" s="25" t="inlineStr">
        <is>
          <t>Rideshare and Taxi Log (Article 5 detail)</t>
        </is>
      </c>
    </row>
    <row r="2" ht="32" customHeight="1">
      <c r="A2" s="26" t="inlineStr">
        <is>
          <t>Reimbursed only for late-night rides (after 11:00 PM or after the last train), rides with a client present (pre-approval required) or unavoidable circumstances. Cap: USD 100 per ride. Submit F-021 for any amount above the cap.</t>
        </is>
      </c>
    </row>
    <row r="4" ht="32" customHeight="1">
      <c r="A4" s="5" t="inlineStr">
        <is>
          <t>No.</t>
        </is>
      </c>
      <c r="B4" s="5" t="inlineStr">
        <is>
          <t>Date</t>
        </is>
      </c>
      <c r="C4" s="5" t="inlineStr">
        <is>
          <t>Pickup time</t>
        </is>
      </c>
      <c r="D4" s="5" t="inlineStr">
        <is>
          <t>Drop-off time</t>
        </is>
      </c>
      <c r="E4" s="5" t="inlineStr">
        <is>
          <t>Pickup location</t>
        </is>
      </c>
      <c r="F4" s="5" t="inlineStr">
        <is>
          <t>Drop-off location</t>
        </is>
      </c>
      <c r="G4" s="5" t="inlineStr">
        <is>
          <t>Purpose</t>
        </is>
      </c>
      <c r="H4" s="5" t="inlineStr">
        <is>
          <t>Amount (USD)</t>
        </is>
      </c>
      <c r="I4" s="5" t="inlineStr">
        <is>
          <t>Over cap</t>
        </is>
      </c>
      <c r="J4" s="5" t="inlineStr">
        <is>
          <t>F-021 / pre-approval status</t>
        </is>
      </c>
    </row>
    <row r="5" ht="24" customHeight="1">
      <c r="A5" s="6" t="n">
        <v>1</v>
      </c>
      <c r="B5" s="7" t="inlineStr">
        <is>
          <t>05/10/2026</t>
        </is>
      </c>
      <c r="C5" s="6" t="inlineStr">
        <is>
          <t>11:50 PM</t>
        </is>
      </c>
      <c r="D5" s="6" t="inlineStr">
        <is>
          <t>12:18 AM</t>
        </is>
      </c>
      <c r="E5" s="7" t="inlineStr">
        <is>
          <t>Office (Midtown Manhattan)</t>
        </is>
      </c>
      <c r="F5" s="7" t="inlineStr">
        <is>
          <t>Home (Astoria, Queens)</t>
        </is>
      </c>
      <c r="G5" s="7" t="inlineStr">
        <is>
          <t>Ride home after last train (work ended 11:45 PM)</t>
        </is>
      </c>
      <c r="H5" s="8" t="n">
        <v>48.2</v>
      </c>
      <c r="I5" s="6" t="inlineStr">
        <is>
          <t>No</t>
        </is>
      </c>
      <c r="J5" s="7" t="inlineStr">
        <is>
          <t>—</t>
        </is>
      </c>
    </row>
    <row r="6" ht="24" customHeight="1">
      <c r="A6" s="9" t="n">
        <v>2</v>
      </c>
      <c r="B6" s="10" t="inlineStr">
        <is>
          <t>05/14/2026</t>
        </is>
      </c>
      <c r="C6" s="9" t="inlineStr">
        <is>
          <t>1:20 PM</t>
        </is>
      </c>
      <c r="D6" s="9" t="inlineStr">
        <is>
          <t>1:45 PM</t>
        </is>
      </c>
      <c r="E6" s="10" t="inlineStr">
        <is>
          <t>HQ (Midtown Manhattan)</t>
        </is>
      </c>
      <c r="F6" s="10" t="inlineStr">
        <is>
          <t>Beta Inc. (Financial District)</t>
        </is>
      </c>
      <c r="G6" s="10" t="inlineStr">
        <is>
          <t>Client present, carrying original contracts</t>
        </is>
      </c>
      <c r="H6" s="11" t="n">
        <v>31.8</v>
      </c>
      <c r="I6" s="9" t="inlineStr">
        <is>
          <t>No</t>
        </is>
      </c>
      <c r="J6" s="10" t="inlineStr">
        <is>
          <t>Pre-approved 05/12/2026 (approver: R. Taylor)</t>
        </is>
      </c>
    </row>
    <row r="7" ht="24" customHeight="1">
      <c r="A7" s="6" t="n">
        <v>3</v>
      </c>
      <c r="B7" s="7" t="inlineStr">
        <is>
          <t>05/18/2026</t>
        </is>
      </c>
      <c r="C7" s="6" t="inlineStr">
        <is>
          <t>12:35 AM</t>
        </is>
      </c>
      <c r="D7" s="6" t="inlineStr">
        <is>
          <t>1:20 AM</t>
        </is>
      </c>
      <c r="E7" s="7" t="inlineStr">
        <is>
          <t>HQ (Midtown Manhattan)</t>
        </is>
      </c>
      <c r="F7" s="7" t="inlineStr">
        <is>
          <t>Home (White Plains, Westchester)</t>
        </is>
      </c>
      <c r="G7" s="7" t="inlineStr">
        <is>
          <t>Ride home (work ended 12:30 AM)</t>
        </is>
      </c>
      <c r="H7" s="8" t="n">
        <v>132.4</v>
      </c>
      <c r="I7" s="6" t="inlineStr">
        <is>
          <t>Yes</t>
        </is>
      </c>
      <c r="J7" s="7" t="inlineStr">
        <is>
          <t>F-021 submitted / dept head approved 5/19 / People Ops approved 5/20</t>
        </is>
      </c>
    </row>
    <row r="8" ht="22" customHeight="1">
      <c r="A8" s="6" t="n">
        <v>4</v>
      </c>
      <c r="B8" s="7" t="n"/>
      <c r="C8" s="7" t="n"/>
      <c r="D8" s="7" t="n"/>
      <c r="E8" s="7" t="n"/>
      <c r="F8" s="7" t="n"/>
      <c r="G8" s="7" t="n"/>
      <c r="H8" s="8" t="n"/>
      <c r="I8" s="7" t="n"/>
      <c r="J8" s="7" t="n"/>
    </row>
    <row r="9" ht="22" customHeight="1">
      <c r="A9" s="6" t="n">
        <v>5</v>
      </c>
      <c r="B9" s="7" t="n"/>
      <c r="C9" s="7" t="n"/>
      <c r="D9" s="7" t="n"/>
      <c r="E9" s="7" t="n"/>
      <c r="F9" s="7" t="n"/>
      <c r="G9" s="7" t="n"/>
      <c r="H9" s="8" t="n"/>
      <c r="I9" s="7" t="n"/>
      <c r="J9" s="7" t="n"/>
    </row>
    <row r="10" ht="22" customHeight="1">
      <c r="A10" s="6" t="n">
        <v>6</v>
      </c>
      <c r="B10" s="7" t="n"/>
      <c r="C10" s="7" t="n"/>
      <c r="D10" s="7" t="n"/>
      <c r="E10" s="7" t="n"/>
      <c r="F10" s="7" t="n"/>
      <c r="G10" s="7" t="n"/>
      <c r="H10" s="8" t="n"/>
      <c r="I10" s="7" t="n"/>
      <c r="J10" s="7" t="n"/>
    </row>
    <row r="11" ht="22" customHeight="1">
      <c r="A11" s="6" t="n">
        <v>7</v>
      </c>
      <c r="B11" s="7" t="n"/>
      <c r="C11" s="7" t="n"/>
      <c r="D11" s="7" t="n"/>
      <c r="E11" s="7" t="n"/>
      <c r="F11" s="7" t="n"/>
      <c r="G11" s="7" t="n"/>
      <c r="H11" s="8" t="n"/>
      <c r="I11" s="7" t="n"/>
      <c r="J11" s="7" t="n"/>
    </row>
    <row r="12" ht="22" customHeight="1">
      <c r="A12" s="6" t="n">
        <v>8</v>
      </c>
      <c r="B12" s="7" t="n"/>
      <c r="C12" s="7" t="n"/>
      <c r="D12" s="7" t="n"/>
      <c r="E12" s="7" t="n"/>
      <c r="F12" s="7" t="n"/>
      <c r="G12" s="7" t="n"/>
      <c r="H12" s="8" t="n"/>
      <c r="I12" s="7" t="n"/>
      <c r="J12" s="7" t="n"/>
    </row>
    <row r="13" ht="22" customHeight="1">
      <c r="A13" s="6" t="n">
        <v>9</v>
      </c>
      <c r="B13" s="7" t="n"/>
      <c r="C13" s="7" t="n"/>
      <c r="D13" s="7" t="n"/>
      <c r="E13" s="7" t="n"/>
      <c r="F13" s="7" t="n"/>
      <c r="G13" s="7" t="n"/>
      <c r="H13" s="8" t="n"/>
      <c r="I13" s="7" t="n"/>
      <c r="J13" s="7" t="n"/>
    </row>
    <row r="14" ht="22" customHeight="1">
      <c r="A14" s="6" t="n">
        <v>10</v>
      </c>
      <c r="B14" s="7" t="n"/>
      <c r="C14" s="7" t="n"/>
      <c r="D14" s="7" t="n"/>
      <c r="E14" s="7" t="n"/>
      <c r="F14" s="7" t="n"/>
      <c r="G14" s="7" t="n"/>
      <c r="H14" s="8" t="n"/>
      <c r="I14" s="7" t="n"/>
      <c r="J14" s="7" t="n"/>
    </row>
    <row r="15" ht="22" customHeight="1">
      <c r="A15" s="6" t="n">
        <v>11</v>
      </c>
      <c r="B15" s="7" t="n"/>
      <c r="C15" s="7" t="n"/>
      <c r="D15" s="7" t="n"/>
      <c r="E15" s="7" t="n"/>
      <c r="F15" s="7" t="n"/>
      <c r="G15" s="7" t="n"/>
      <c r="H15" s="8" t="n"/>
      <c r="I15" s="7" t="n"/>
      <c r="J15" s="7" t="n"/>
    </row>
  </sheetData>
  <mergeCells count="2">
    <mergeCell ref="A1:J1"/>
    <mergeCell ref="A2:J2"/>
  </mergeCells>
  <dataValidations count="1">
    <dataValidation sqref="I5:I20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 ht="28" customHeight="1">
      <c r="A1" s="25" t="inlineStr">
        <is>
          <t>Cash Advance Settlement (Article 12)</t>
        </is>
      </c>
    </row>
    <row r="2" ht="22" customHeight="1">
      <c r="A2" s="27" t="inlineStr">
        <is>
          <t>If you received a cash advance before a trip, settle it on this sheet within 5 business days after return.</t>
        </is>
      </c>
    </row>
    <row r="4" ht="24" customHeight="1">
      <c r="A4" s="5" t="inlineStr">
        <is>
          <t>No.</t>
        </is>
      </c>
      <c r="B4" s="5" t="inlineStr">
        <is>
          <t>Request date</t>
        </is>
      </c>
      <c r="C4" s="5" t="inlineStr">
        <is>
          <t>Purpose</t>
        </is>
      </c>
      <c r="D4" s="5" t="inlineStr">
        <is>
          <t>Advance</t>
        </is>
      </c>
      <c r="E4" s="5" t="inlineStr">
        <is>
          <t>Actual total</t>
        </is>
      </c>
      <c r="F4" s="5" t="inlineStr">
        <is>
          <t>Difference</t>
        </is>
      </c>
      <c r="G4" s="5" t="inlineStr">
        <is>
          <t>Notes</t>
        </is>
      </c>
    </row>
    <row r="5">
      <c r="A5" s="6" t="n">
        <v>1</v>
      </c>
      <c r="B5" s="7" t="n"/>
      <c r="C5" s="7" t="n"/>
      <c r="D5" s="8" t="n"/>
      <c r="E5" s="8" t="n"/>
      <c r="F5" s="8">
        <f>D5-E5</f>
        <v/>
      </c>
      <c r="G5" s="7" t="n"/>
    </row>
    <row r="6">
      <c r="A6" s="6" t="n">
        <v>2</v>
      </c>
      <c r="B6" s="7" t="n"/>
      <c r="C6" s="7" t="n"/>
      <c r="D6" s="8" t="n"/>
      <c r="E6" s="8" t="n"/>
      <c r="F6" s="8">
        <f>D6-E6</f>
        <v/>
      </c>
      <c r="G6" s="7" t="n"/>
    </row>
    <row r="7">
      <c r="A7" s="6" t="n">
        <v>3</v>
      </c>
      <c r="B7" s="7" t="n"/>
      <c r="C7" s="7" t="n"/>
      <c r="D7" s="8" t="n"/>
      <c r="E7" s="8" t="n"/>
      <c r="F7" s="8">
        <f>D7-E7</f>
        <v/>
      </c>
      <c r="G7" s="7" t="n"/>
    </row>
    <row r="8">
      <c r="A8" s="6" t="n">
        <v>4</v>
      </c>
      <c r="B8" s="7" t="n"/>
      <c r="C8" s="7" t="n"/>
      <c r="D8" s="8" t="n"/>
      <c r="E8" s="8" t="n"/>
      <c r="F8" s="8">
        <f>D8-E8</f>
        <v/>
      </c>
      <c r="G8" s="7" t="n"/>
    </row>
    <row r="9">
      <c r="A9" s="6" t="n">
        <v>5</v>
      </c>
      <c r="B9" s="7" t="n"/>
      <c r="C9" s="7" t="n"/>
      <c r="D9" s="8" t="n"/>
      <c r="E9" s="8" t="n"/>
      <c r="F9" s="8">
        <f>D9-E9</f>
        <v/>
      </c>
      <c r="G9" s="7" t="n"/>
    </row>
    <row r="10">
      <c r="A10" s="6" t="n">
        <v>6</v>
      </c>
      <c r="B10" s="7" t="n"/>
      <c r="C10" s="7" t="n"/>
      <c r="D10" s="8" t="n"/>
      <c r="E10" s="8" t="n"/>
      <c r="F10" s="8">
        <f>D10-E10</f>
        <v/>
      </c>
      <c r="G10" s="7" t="n"/>
    </row>
    <row r="11">
      <c r="A11" s="6" t="n">
        <v>7</v>
      </c>
      <c r="B11" s="7" t="n"/>
      <c r="C11" s="7" t="n"/>
      <c r="D11" s="8" t="n"/>
      <c r="E11" s="8" t="n"/>
      <c r="F11" s="8">
        <f>D11-E11</f>
        <v/>
      </c>
      <c r="G11" s="7" t="n"/>
    </row>
    <row r="12">
      <c r="A12" s="6" t="n">
        <v>8</v>
      </c>
      <c r="B12" s="7" t="n"/>
      <c r="C12" s="7" t="n"/>
      <c r="D12" s="8" t="n"/>
      <c r="E12" s="8" t="n"/>
      <c r="F12" s="8">
        <f>D12-E12</f>
        <v/>
      </c>
      <c r="G12" s="7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</cols>
  <sheetData>
    <row r="1" ht="24" customHeight="1">
      <c r="A1" s="21" t="inlineStr">
        <is>
          <t>Category</t>
        </is>
      </c>
      <c r="B1" s="21" t="inlineStr">
        <is>
          <t>GL account</t>
        </is>
      </c>
      <c r="C1" s="21" t="inlineStr">
        <is>
          <t>Notes / policy reference</t>
        </is>
      </c>
    </row>
    <row r="2">
      <c r="A2" s="28" t="inlineStr">
        <is>
          <t>Public transit</t>
        </is>
      </c>
      <c r="B2" s="7" t="inlineStr">
        <is>
          <t>Travel</t>
        </is>
      </c>
      <c r="C2" s="7" t="inlineStr">
        <is>
          <t>Article 4 / most economical and fastest route</t>
        </is>
      </c>
    </row>
    <row r="3">
      <c r="A3" s="28" t="inlineStr">
        <is>
          <t>Rail</t>
        </is>
      </c>
      <c r="B3" s="7" t="inlineStr">
        <is>
          <t>Travel</t>
        </is>
      </c>
      <c r="C3" s="7" t="inlineStr">
        <is>
          <t>Article 4, Para. 2 / coach for trips of 100+ miles</t>
        </is>
      </c>
    </row>
    <row r="4">
      <c r="A4" s="28" t="inlineStr">
        <is>
          <t>Air</t>
        </is>
      </c>
      <c r="B4" s="7" t="inlineStr">
        <is>
          <t>Travel</t>
        </is>
      </c>
      <c r="C4" s="7" t="inlineStr">
        <is>
          <t>Article 4, Para. 3 / 300+ miles or saves 2+ hours</t>
        </is>
      </c>
    </row>
    <row r="5">
      <c r="A5" s="28" t="inlineStr">
        <is>
          <t>Bus</t>
        </is>
      </c>
      <c r="B5" s="7" t="inlineStr">
        <is>
          <t>Travel</t>
        </is>
      </c>
      <c r="C5" s="7" t="inlineStr">
        <is>
          <t>Article 4</t>
        </is>
      </c>
    </row>
    <row r="6">
      <c r="A6" s="28" t="inlineStr">
        <is>
          <t>Rideshare (daytime)</t>
        </is>
      </c>
      <c r="B6" s="7" t="inlineStr">
        <is>
          <t>Travel</t>
        </is>
      </c>
      <c r="C6" s="7" t="inlineStr">
        <is>
          <t>Article 5, Clause 2 / exceptions only, e.g. client present</t>
        </is>
      </c>
    </row>
    <row r="7">
      <c r="A7" s="28" t="inlineStr">
        <is>
          <t>Rideshare (late night)</t>
        </is>
      </c>
      <c r="B7" s="7" t="inlineStr">
        <is>
          <t>Travel</t>
        </is>
      </c>
      <c r="C7" s="7" t="inlineStr">
        <is>
          <t>Article 5, Clause 1 / after 11:00 PM or after the last train</t>
        </is>
      </c>
    </row>
    <row r="8">
      <c r="A8" s="28" t="inlineStr">
        <is>
          <t>Personal vehicle</t>
        </is>
      </c>
      <c r="B8" s="7" t="inlineStr">
        <is>
          <t>Travel</t>
        </is>
      </c>
      <c r="C8" s="7" t="inlineStr">
        <is>
          <t>Article 6 / USD 0.67 per mile / F-015 required</t>
        </is>
      </c>
    </row>
    <row r="9">
      <c r="A9" s="28" t="inlineStr">
        <is>
          <t>Lodging</t>
        </is>
      </c>
      <c r="B9" s="7" t="inlineStr">
        <is>
          <t>Travel</t>
        </is>
      </c>
      <c r="C9" s="7" t="inlineStr">
        <is>
          <t>Article 7 / caps by location</t>
        </is>
      </c>
    </row>
    <row r="10">
      <c r="A10" s="28" t="inlineStr">
        <is>
          <t>Client entertainment</t>
        </is>
      </c>
      <c r="B10" s="7" t="inlineStr">
        <is>
          <t>Entertainment</t>
        </is>
      </c>
      <c r="C10" s="7" t="inlineStr">
        <is>
          <t>Article 10 / F-009 above USD 75 per person</t>
        </is>
      </c>
    </row>
    <row r="11">
      <c r="A11" s="28" t="inlineStr">
        <is>
          <t>Meetings</t>
        </is>
      </c>
      <c r="B11" s="7" t="inlineStr">
        <is>
          <t>Meetings</t>
        </is>
      </c>
      <c r="C11" s="7" t="inlineStr">
        <is>
          <t>Meals for internal meetings, etc.</t>
        </is>
      </c>
    </row>
    <row r="12">
      <c r="A12" s="28" t="inlineStr">
        <is>
          <t>Supplies</t>
        </is>
      </c>
      <c r="B12" s="7" t="inlineStr">
        <is>
          <t>Supplies</t>
        </is>
      </c>
      <c r="C12" s="7" t="inlineStr">
        <is>
          <t>—</t>
        </is>
      </c>
    </row>
    <row r="13">
      <c r="A13" s="28" t="inlineStr">
        <is>
          <t>Phone &amp; internet</t>
        </is>
      </c>
      <c r="B13" s="7" t="inlineStr">
        <is>
          <t>Communications</t>
        </is>
      </c>
      <c r="C13" s="7" t="inlineStr">
        <is>
          <t>—</t>
        </is>
      </c>
    </row>
    <row r="14">
      <c r="A14" s="28" t="inlineStr">
        <is>
          <t>Other</t>
        </is>
      </c>
      <c r="B14" s="7" t="inlineStr">
        <is>
          <t>Miscellaneous</t>
        </is>
      </c>
      <c r="C14" s="7" t="inlineStr">
        <is>
          <t>Manager approval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30" customHeight="1">
      <c r="A1" s="25" t="inlineStr">
        <is>
          <t>expense_template_v3.xlsx — How to fill in</t>
        </is>
      </c>
    </row>
    <row r="2" ht="18" customHeight="1">
      <c r="A2" s="2" t="inlineStr">
        <is>
          <t>Governing policy: Nexus Logistics, Inc. Travel, Expense Reimbursement and HR Procedures Policy (NL-HR-RG-2024-007, Revision 3)</t>
        </is>
      </c>
    </row>
    <row r="4" ht="22" customHeight="1">
      <c r="A4" s="29" t="inlineStr">
        <is>
          <t>Submission deadline</t>
        </is>
      </c>
    </row>
    <row r="5" ht="22" customHeight="1">
      <c r="A5" s="7" t="inlineStr">
        <is>
          <t>Reports must be received by 5:00 PM on the 25th of each month (Article 8).</t>
        </is>
      </c>
    </row>
    <row r="6" ht="22" customHeight="1">
      <c r="A6" s="7" t="inlineStr">
        <is>
          <t>If the 25th falls on a weekend or holiday, the deadline moves to the preceding business day.</t>
        </is>
      </c>
    </row>
    <row r="7" ht="22" customHeight="1">
      <c r="A7" s="7" t="inlineStr">
        <is>
          <t>Late reports are reimbursed in the month after next and require a Late Submission Explanation (F-007).</t>
        </is>
      </c>
    </row>
    <row r="8" ht="22" customHeight="1">
      <c r="A8" s="7" t="inlineStr">
        <is>
          <t>Three or more late submissions in a fiscal year lead to a deduction in the performance review.</t>
        </is>
      </c>
    </row>
    <row r="10" ht="22" customHeight="1">
      <c r="A10" s="29" t="inlineStr">
        <is>
          <t>How to fill in</t>
        </is>
      </c>
    </row>
    <row r="11" ht="22" customHeight="1">
      <c r="A11" s="7" t="inlineStr">
        <is>
          <t>1. Complete the header of the Expense Report sheet (name, employee ID, department, period, etc.).</t>
        </is>
      </c>
    </row>
    <row r="12" ht="22" customHeight="1">
      <c r="A12" s="7" t="inlineStr">
        <is>
          <t>2. Enter one expense per row. Choose the Category from the drop-down.</t>
        </is>
      </c>
    </row>
    <row r="13" ht="22" customHeight="1">
      <c r="A13" s="7" t="inlineStr">
        <is>
          <t>3. In the Receipt column choose Yes (receipt attached), — (none), E-statement or To follow.</t>
        </is>
      </c>
    </row>
    <row r="14" ht="22" customHeight="1">
      <c r="A14" s="7" t="inlineStr">
        <is>
          <t>4. Also record rideshare and taxi rides on the Rideshare Log sheet (Article 5 detail).</t>
        </is>
      </c>
    </row>
    <row r="15" ht="22" customHeight="1">
      <c r="A15" s="7" t="inlineStr">
        <is>
          <t>5. If you received a cash advance, complete the Cash Advance sheet.</t>
        </is>
      </c>
    </row>
    <row r="16" ht="22" customHeight="1">
      <c r="A16" s="7" t="inlineStr">
        <is>
          <t>6. Totals and net reimbursement are calculated automatically (avoid inserting rows mid-table so the formulas stay intact).</t>
        </is>
      </c>
    </row>
    <row r="17" ht="22" customHeight="1">
      <c r="A17" s="7" t="inlineStr">
        <is>
          <t>7. Obtain approvals in this order: manager → department head → Accounts Payable → People Operations.</t>
        </is>
      </c>
    </row>
    <row r="19" ht="22" customHeight="1">
      <c r="A19" s="29" t="inlineStr">
        <is>
          <t>Receipts</t>
        </is>
      </c>
    </row>
    <row r="20" ht="22" customHeight="1">
      <c r="A20" s="7" t="inlineStr">
        <is>
          <t>USD 25 or more: an itemized receipt is required (PDF or JPEG e-receipts are accepted).</t>
        </is>
      </c>
    </row>
    <row r="21" ht="22" customHeight="1">
      <c r="A21" s="7" t="inlineStr">
        <is>
          <t>Under USD 25: a screenshot of the electronic statement showing date, merchant, amount and purpose is accepted.</t>
        </is>
      </c>
    </row>
    <row r="22" ht="22" customHeight="1">
      <c r="A22" s="7" t="inlineStr">
        <is>
          <t>Meals: list the names and affiliations of all attendees. Client entertainment above USD 75 per person requires F-009 pre-approval.</t>
        </is>
      </c>
    </row>
    <row r="24" ht="22" customHeight="1">
      <c r="A24" s="29" t="inlineStr">
        <is>
          <t>Rideshare and taxi rules (Article 5)</t>
        </is>
      </c>
    </row>
    <row r="25" ht="22" customHeight="1">
      <c r="A25" s="7" t="inlineStr">
        <is>
          <t>Ride home after work ends after 11:00 PM, or after the last train → reimbursable.</t>
        </is>
      </c>
    </row>
    <row r="26" ht="22" customHeight="1">
      <c r="A26" s="7" t="inlineStr">
        <is>
          <t>Daytime rides → not reimbursable as a rule. Exceptions: (1) client present + pre-approval, (2) heavy or confidential items, (3) unavoidable circumstances.</t>
        </is>
      </c>
    </row>
    <row r="27" ht="22" customHeight="1">
      <c r="A27" s="7" t="inlineStr">
        <is>
          <t>Cap: USD 100 per ride (tax and tip included). For any excess, submit the Excess Justification Form F-021 (department head + Director of People Operations).</t>
        </is>
      </c>
    </row>
    <row r="28" ht="22" customHeight="1">
      <c r="A28" s="7" t="inlineStr">
        <is>
          <t>F-021 is due by 5:00 PM two business days after the ride. After that, the full fare is paid by the employee.</t>
        </is>
      </c>
    </row>
    <row r="29" ht="22" customHeight="1">
      <c r="A29" s="7" t="inlineStr">
        <is>
          <t>Rides home after private social events, rides to the nearest station, and trips mixed with sightseeing are not reimbursable.</t>
        </is>
      </c>
    </row>
    <row r="31" ht="22" customHeight="1">
      <c r="A31" s="29" t="inlineStr">
        <is>
          <t>Using this template</t>
        </is>
      </c>
    </row>
    <row r="32" ht="22" customHeight="1">
      <c r="A32" s="7" t="inlineStr">
        <is>
          <t>This is template v3. Reports on v2 or older templates are not accepted (Article 9, Paragraph 3).</t>
        </is>
      </c>
    </row>
    <row r="33" ht="22" customHeight="1">
      <c r="A33" s="7" t="inlineStr">
        <is>
          <t>Macros must be enabled (Article 9, Paragraph 4). Do not change the cell structure or formulas.</t>
        </is>
      </c>
    </row>
    <row r="34" ht="22" customHeight="1">
      <c r="A34" s="7" t="inlineStr">
        <is>
          <t>Download the file, fill it in locally, and upload it to the FlowDesk workflow system.</t>
        </is>
      </c>
    </row>
    <row r="35" ht="22" customHeight="1">
      <c r="A35" s="7" t="inlineStr">
        <is>
          <t>Recommended file name: Expenses_YYYY-MM_FirstLast.xlsx</t>
        </is>
      </c>
    </row>
    <row r="37" ht="22" customHeight="1">
      <c r="A37" s="29" t="inlineStr">
        <is>
          <t>Contacts</t>
        </is>
      </c>
    </row>
    <row r="38" ht="22" customHeight="1">
      <c r="A38" s="7" t="inlineStr">
        <is>
          <t>Expenses and payments: Accounts Payable (ext. 1456 / accounts-payable@nexus-logistics.example.com)</t>
        </is>
      </c>
    </row>
    <row r="39" ht="22" customHeight="1">
      <c r="A39" s="7" t="inlineStr">
        <is>
          <t>Policy and HR: People Operations (ext. 1234 / people-ops@nexus-logistics.example.com)</t>
        </is>
      </c>
    </row>
    <row r="40" ht="22" customHeight="1">
      <c r="A40" s="7" t="inlineStr">
        <is>
          <t>Shifts and night work: Logistics Operations (ext. 2210)</t>
        </is>
      </c>
    </row>
  </sheetData>
  <mergeCells count="34">
    <mergeCell ref="A24:B24"/>
    <mergeCell ref="A15:B15"/>
    <mergeCell ref="A11:B11"/>
    <mergeCell ref="A1:B1"/>
    <mergeCell ref="A6:B6"/>
    <mergeCell ref="A16:B16"/>
    <mergeCell ref="A7:B7"/>
    <mergeCell ref="A25:B25"/>
    <mergeCell ref="A37:B37"/>
    <mergeCell ref="A27:B27"/>
    <mergeCell ref="A12:B12"/>
    <mergeCell ref="A26:B26"/>
    <mergeCell ref="A21:B21"/>
    <mergeCell ref="A2:B2"/>
    <mergeCell ref="A33:B33"/>
    <mergeCell ref="A5:B5"/>
    <mergeCell ref="A32:B32"/>
    <mergeCell ref="A14:B14"/>
    <mergeCell ref="A17:B17"/>
    <mergeCell ref="A8:B8"/>
    <mergeCell ref="A22:B22"/>
    <mergeCell ref="A35:B35"/>
    <mergeCell ref="A4:B4"/>
    <mergeCell ref="A20:B20"/>
    <mergeCell ref="A38:B38"/>
    <mergeCell ref="A29:B29"/>
    <mergeCell ref="A19:B19"/>
    <mergeCell ref="A10:B10"/>
    <mergeCell ref="A28:B28"/>
    <mergeCell ref="A13:B13"/>
    <mergeCell ref="A40:B40"/>
    <mergeCell ref="A31:B31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Nexus Logistics, Inc. People Operations</dc:creator>
  <dc:title>Expense Report Template v3</dc:title>
  <dc:description>Complies with policy NL-HR-RG-2024-007 / dummy file for the Dify x n8n portfolio demo</dc:description>
  <dc:subject>Expense Reimbursement Template (Dummy)</dc:subject>
  <dcterms:created xsi:type="dcterms:W3CDTF">2026-10-15T07:46:20Z</dcterms:created>
  <dcterms:modified xsi:type="dcterms:W3CDTF">2026-10-15T07:46:20Z</dcterms:modified>
  <cp:lastModifiedBy>NexusLogi Bot</cp:lastModifiedBy>
  <cp:keywords>expense report, travel, rideshare, policy, demo</cp:keywords>
</cp:coreProperties>
</file>